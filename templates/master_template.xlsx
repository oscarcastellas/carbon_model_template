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s &amp; Assumptions" sheetId="1" r:id="rId1"/>
    <sheet name="Valuation Schedule" sheetId="2" r:id="rId2"/>
    <sheet name="Summary &amp; Results" sheetId="3" r:id="rId3"/>
    <sheet name="Analysis" sheetId="4" r:id="rId4"/>
    <sheet name="Deal Valuation" sheetId="5" r:id="rId5"/>
    <sheet name="Monte Carlo Results" sheetId="6" r:id="rId6"/>
    <sheet name="Sensitivity Analysis" sheetId="7" r:id="rId7"/>
    <sheet name="Breakeven Analysis" sheetId="8" r:id="rId8"/>
  </sheets>
  <calcPr calcId="124519" fullCalcOnLoad="1"/>
</workbook>
</file>

<file path=xl/sharedStrings.xml><?xml version="1.0" encoding="utf-8"?>
<sst xmlns="http://schemas.openxmlformats.org/spreadsheetml/2006/main" count="79" uniqueCount="62">
  <si>
    <t>Carbon Credit Investment Model - Inputs &amp; Assumptions</t>
  </si>
  <si>
    <t>Base Financial Assumptions</t>
  </si>
  <si>
    <t>WACC</t>
  </si>
  <si>
    <t>Investor Investment Total</t>
  </si>
  <si>
    <t>Investment Tenor (Years)</t>
  </si>
  <si>
    <t>Initial Streaming Percentage</t>
  </si>
  <si>
    <t>Target IRR</t>
  </si>
  <si>
    <t>Target Streaming Percentage</t>
  </si>
  <si>
    <t>Monte Carlo Assumptions</t>
  </si>
  <si>
    <t>Price Growth Base (Mean)</t>
  </si>
  <si>
    <t>Price Growth Std Dev</t>
  </si>
  <si>
    <t>Volume Multiplier Base (Mean)</t>
  </si>
  <si>
    <t>Volume Std Dev</t>
  </si>
  <si>
    <t>Use GBM Method</t>
  </si>
  <si>
    <t>No</t>
  </si>
  <si>
    <t>GBM Drift (μ)</t>
  </si>
  <si>
    <t>N/A</t>
  </si>
  <si>
    <t>GBM Volatility (σ)</t>
  </si>
  <si>
    <t>Number of Simulations</t>
  </si>
  <si>
    <t>Valuation Schedule - 20 Year Cash Flow</t>
  </si>
  <si>
    <t>Total</t>
  </si>
  <si>
    <t>Carbon Credits Gross</t>
  </si>
  <si>
    <t>Investor Share of Credits</t>
  </si>
  <si>
    <t>Base Carbon Price</t>
  </si>
  <si>
    <t>Investor Revenue</t>
  </si>
  <si>
    <t>Project Implementation Costs</t>
  </si>
  <si>
    <t>Investor Investment Drawdown</t>
  </si>
  <si>
    <t>Investor Net Cash Flow</t>
  </si>
  <si>
    <t>Discount Factor</t>
  </si>
  <si>
    <t>Present Value</t>
  </si>
  <si>
    <t>Cumulative Cash Flow</t>
  </si>
  <si>
    <t>Cumulative PV</t>
  </si>
  <si>
    <t>Summary &amp; Results</t>
  </si>
  <si>
    <t>Key Financial Metrics</t>
  </si>
  <si>
    <t>Net Present Value (NPV)</t>
  </si>
  <si>
    <t>Internal Rate of Return (IRR)</t>
  </si>
  <si>
    <t>(Calculated from cash flows)</t>
  </si>
  <si>
    <t>Payback Period (Years)</t>
  </si>
  <si>
    <t>(Years to positive cumulative cash flow)</t>
  </si>
  <si>
    <t>Target Metrics</t>
  </si>
  <si>
    <t>Actual IRR Achieved</t>
  </si>
  <si>
    <t>Analysis Modules</t>
  </si>
  <si>
    <t>Use the sheets below to run advanced analysis modules</t>
  </si>
  <si>
    <t>Input variables in each sheet, then run Python scripts from Terminal</t>
  </si>
  <si>
    <t>Deal Valuation</t>
  </si>
  <si>
    <t>Input Variables:</t>
  </si>
  <si>
    <t>Calculation Type</t>
  </si>
  <si>
    <t>Solve for Purchase Price</t>
  </si>
  <si>
    <t>Results:</t>
  </si>
  <si>
    <t>Maximum Purchase Price</t>
  </si>
  <si>
    <t>Status</t>
  </si>
  <si>
    <t>Ready - Run Python script</t>
  </si>
  <si>
    <t>Monte Carlo Results</t>
  </si>
  <si>
    <t>Sensitivity Analysis</t>
  </si>
  <si>
    <t>Credit Volume Range (Min)</t>
  </si>
  <si>
    <t>Credit Volume Range (Max)</t>
  </si>
  <si>
    <t>Price Multiplier Range (Min)</t>
  </si>
  <si>
    <t>Price Multiplier Range (Max)</t>
  </si>
  <si>
    <t>Breakeven Analysis</t>
  </si>
  <si>
    <t>Metric to Calculate</t>
  </si>
  <si>
    <t>all</t>
  </si>
  <si>
    <t>Target NPV</t>
  </si>
</sst>
</file>

<file path=xl/styles.xml><?xml version="1.0" encoding="utf-8"?>
<styleSheet xmlns="http://schemas.openxmlformats.org/spreadsheetml/2006/main">
  <numFmts count="5">
    <numFmt numFmtId="164" formatCode="0.00%"/>
    <numFmt numFmtId="165" formatCode="#,##0.00"/>
    <numFmt numFmtId="166" formatCode="#,##0"/>
    <numFmt numFmtId="167" formatCode="$#,##0.00"/>
    <numFmt numFmtId="168" formatCode="$#,##0"/>
  </numFmts>
  <fonts count="6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9"/>
      <color rgb="FF666666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366092"/>
        <bgColor indexed="64"/>
      </patternFill>
    </fill>
    <fill>
      <patternFill patternType="solid">
        <fgColor rgb="FFE2EFD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0" fontId="3" fillId="3" borderId="1" xfId="0" applyFont="1" applyFill="1" applyBorder="1" applyAlignment="1">
      <alignment horizontal="right"/>
    </xf>
    <xf numFmtId="164" fontId="0" fillId="0" borderId="1" xfId="0" applyNumberFormat="1" applyBorder="1"/>
    <xf numFmtId="0" fontId="0" fillId="4" borderId="1" xfId="0" applyFill="1" applyBorder="1"/>
    <xf numFmtId="165" fontId="0" fillId="0" borderId="1" xfId="0" applyNumberFormat="1" applyBorder="1"/>
    <xf numFmtId="0" fontId="0" fillId="0" borderId="1" xfId="0" applyBorder="1"/>
    <xf numFmtId="166" fontId="0" fillId="0" borderId="1" xfId="0" applyNumberFormat="1" applyBorder="1"/>
    <xf numFmtId="0" fontId="4" fillId="5" borderId="1" xfId="0" applyFont="1" applyFill="1" applyBorder="1" applyAlignment="1">
      <alignment horizontal="center" vertical="center"/>
    </xf>
    <xf numFmtId="0" fontId="3" fillId="0" borderId="1" xfId="0" applyFont="1" applyBorder="1"/>
    <xf numFmtId="165" fontId="0" fillId="6" borderId="1" xfId="0" applyNumberFormat="1" applyFill="1" applyBorder="1"/>
    <xf numFmtId="167" fontId="0" fillId="0" borderId="1" xfId="0" applyNumberFormat="1" applyBorder="1"/>
    <xf numFmtId="167" fontId="0" fillId="6" borderId="1" xfId="0" applyNumberFormat="1" applyFill="1" applyBorder="1"/>
    <xf numFmtId="167" fontId="3" fillId="3" borderId="1" xfId="0" applyNumberFormat="1" applyFont="1" applyFill="1" applyBorder="1"/>
    <xf numFmtId="164" fontId="3" fillId="3" borderId="1" xfId="0" applyNumberFormat="1" applyFont="1" applyFill="1" applyBorder="1"/>
    <xf numFmtId="0" fontId="5" fillId="0" borderId="0" xfId="0" applyFont="1"/>
    <xf numFmtId="168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tabSelected="1" workbookViewId="0"/>
  </sheetViews>
  <sheetFormatPr defaultRowHeight="15"/>
  <cols>
    <col min="1" max="1" width="35.7109375" customWidth="1"/>
    <col min="2" max="2" width="20.7109375" customWidth="1"/>
  </cols>
  <sheetData>
    <row r="1" spans="1:2">
      <c r="A1" s="1" t="s">
        <v>0</v>
      </c>
    </row>
    <row r="3" spans="1:2">
      <c r="A3" s="2" t="s">
        <v>1</v>
      </c>
    </row>
    <row r="4" spans="1:2">
      <c r="A4" s="3" t="s">
        <v>2</v>
      </c>
      <c r="B4" s="4">
        <v>0.08</v>
      </c>
    </row>
    <row r="5" spans="1:2">
      <c r="A5" s="3" t="s">
        <v>3</v>
      </c>
      <c r="B5" s="5">
        <v>0</v>
      </c>
    </row>
    <row r="6" spans="1:2">
      <c r="A6" s="3" t="s">
        <v>4</v>
      </c>
      <c r="B6" s="5">
        <v>5</v>
      </c>
    </row>
    <row r="7" spans="1:2">
      <c r="A7" s="3" t="s">
        <v>5</v>
      </c>
      <c r="B7" s="4">
        <v>0.48</v>
      </c>
    </row>
    <row r="8" spans="1:2">
      <c r="A8" s="3" t="s">
        <v>6</v>
      </c>
      <c r="B8" s="4">
        <v>0.2</v>
      </c>
    </row>
    <row r="9" spans="1:2">
      <c r="A9" s="3" t="s">
        <v>7</v>
      </c>
      <c r="B9" s="4">
        <v>0.48</v>
      </c>
    </row>
    <row r="11" spans="1:2">
      <c r="A11" s="2" t="s">
        <v>8</v>
      </c>
    </row>
    <row r="12" spans="1:2">
      <c r="A12" s="3" t="s">
        <v>9</v>
      </c>
      <c r="B12" s="4">
        <v>0.03</v>
      </c>
    </row>
    <row r="13" spans="1:2">
      <c r="A13" s="3" t="s">
        <v>10</v>
      </c>
      <c r="B13" s="4">
        <v>0.02</v>
      </c>
    </row>
    <row r="14" spans="1:2">
      <c r="A14" s="3" t="s">
        <v>11</v>
      </c>
      <c r="B14" s="6">
        <v>1</v>
      </c>
    </row>
    <row r="15" spans="1:2">
      <c r="A15" s="3" t="s">
        <v>12</v>
      </c>
      <c r="B15" s="4">
        <v>0.15</v>
      </c>
    </row>
    <row r="16" spans="1:2">
      <c r="A16" s="3" t="s">
        <v>13</v>
      </c>
      <c r="B16" s="5" t="s">
        <v>14</v>
      </c>
    </row>
    <row r="17" spans="1:2">
      <c r="A17" s="3" t="s">
        <v>15</v>
      </c>
      <c r="B17" s="7" t="s">
        <v>16</v>
      </c>
    </row>
    <row r="18" spans="1:2">
      <c r="A18" s="3" t="s">
        <v>17</v>
      </c>
      <c r="B18" s="7" t="s">
        <v>16</v>
      </c>
    </row>
    <row r="19" spans="1:2">
      <c r="A19" s="3" t="s">
        <v>18</v>
      </c>
      <c r="B19" s="8">
        <v>5000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14"/>
  <sheetViews>
    <sheetView workbookViewId="0"/>
  </sheetViews>
  <sheetFormatPr defaultRowHeight="15"/>
  <cols>
    <col min="1" max="1" width="35.7109375" customWidth="1"/>
    <col min="2" max="21" width="12.7109375" customWidth="1"/>
    <col min="22" max="22" width="15.7109375" customWidth="1"/>
  </cols>
  <sheetData>
    <row r="1" spans="1:22">
      <c r="A1" s="1" t="s">
        <v>19</v>
      </c>
    </row>
    <row r="3" spans="1:22">
      <c r="B3" s="9">
        <v>2025</v>
      </c>
      <c r="C3" s="9">
        <v>2026</v>
      </c>
      <c r="D3" s="9">
        <v>2027</v>
      </c>
      <c r="E3" s="9">
        <v>2028</v>
      </c>
      <c r="F3" s="9">
        <v>2029</v>
      </c>
      <c r="G3" s="9">
        <v>2030</v>
      </c>
      <c r="H3" s="9">
        <v>2031</v>
      </c>
      <c r="I3" s="9">
        <v>2032</v>
      </c>
      <c r="J3" s="9">
        <v>2033</v>
      </c>
      <c r="K3" s="9">
        <v>2034</v>
      </c>
      <c r="L3" s="9">
        <v>2035</v>
      </c>
      <c r="M3" s="9">
        <v>2036</v>
      </c>
      <c r="N3" s="9">
        <v>2037</v>
      </c>
      <c r="O3" s="9">
        <v>2038</v>
      </c>
      <c r="P3" s="9">
        <v>2039</v>
      </c>
      <c r="Q3" s="9">
        <v>2040</v>
      </c>
      <c r="R3" s="9">
        <v>2041</v>
      </c>
      <c r="S3" s="9">
        <v>2042</v>
      </c>
      <c r="T3" s="9">
        <v>2043</v>
      </c>
      <c r="U3" s="9">
        <v>2044</v>
      </c>
      <c r="V3" s="9" t="s">
        <v>20</v>
      </c>
    </row>
    <row r="4" spans="1:22">
      <c r="A4" s="3" t="s">
        <v>21</v>
      </c>
      <c r="B4" s="8">
        <v>0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10">
        <f>SUM(B4:U4)</f>
        <v>0</v>
      </c>
    </row>
    <row r="5" spans="1:22">
      <c r="A5" s="3" t="s">
        <v>22</v>
      </c>
      <c r="B5" s="11">
        <f>B4*'Inputs &amp; Assumptions'!$B$6</f>
        <v>0</v>
      </c>
      <c r="C5" s="11">
        <f>C4*'Inputs &amp; Assumptions'!$B$6</f>
        <v>0</v>
      </c>
      <c r="D5" s="11">
        <f>D4*'Inputs &amp; Assumptions'!$B$6</f>
        <v>0</v>
      </c>
      <c r="E5" s="11">
        <f>E4*'Inputs &amp; Assumptions'!$B$6</f>
        <v>0</v>
      </c>
      <c r="F5" s="11">
        <f>F4*'Inputs &amp; Assumptions'!$B$6</f>
        <v>0</v>
      </c>
      <c r="G5" s="11">
        <f>G4*'Inputs &amp; Assumptions'!$B$6</f>
        <v>0</v>
      </c>
      <c r="H5" s="11">
        <f>H4*'Inputs &amp; Assumptions'!$B$6</f>
        <v>0</v>
      </c>
      <c r="I5" s="11">
        <f>I4*'Inputs &amp; Assumptions'!$B$6</f>
        <v>0</v>
      </c>
      <c r="J5" s="11">
        <f>J4*'Inputs &amp; Assumptions'!$B$6</f>
        <v>0</v>
      </c>
      <c r="K5" s="11">
        <f>K4*'Inputs &amp; Assumptions'!$B$6</f>
        <v>0</v>
      </c>
      <c r="L5" s="11">
        <f>L4*'Inputs &amp; Assumptions'!$B$6</f>
        <v>0</v>
      </c>
      <c r="M5" s="11">
        <f>M4*'Inputs &amp; Assumptions'!$B$6</f>
        <v>0</v>
      </c>
      <c r="N5" s="11">
        <f>N4*'Inputs &amp; Assumptions'!$B$6</f>
        <v>0</v>
      </c>
      <c r="O5" s="11">
        <f>O4*'Inputs &amp; Assumptions'!$B$6</f>
        <v>0</v>
      </c>
      <c r="P5" s="11">
        <f>P4*'Inputs &amp; Assumptions'!$B$6</f>
        <v>0</v>
      </c>
      <c r="Q5" s="11">
        <f>Q4*'Inputs &amp; Assumptions'!$B$6</f>
        <v>0</v>
      </c>
      <c r="R5" s="11">
        <f>R4*'Inputs &amp; Assumptions'!$B$6</f>
        <v>0</v>
      </c>
      <c r="S5" s="11">
        <f>S4*'Inputs &amp; Assumptions'!$B$6</f>
        <v>0</v>
      </c>
      <c r="T5" s="11">
        <f>T4*'Inputs &amp; Assumptions'!$B$6</f>
        <v>0</v>
      </c>
      <c r="U5" s="11">
        <f>U4*'Inputs &amp; Assumptions'!$B$6</f>
        <v>0</v>
      </c>
      <c r="V5" s="10">
        <f>SUM(B5:U5)</f>
        <v>0</v>
      </c>
    </row>
    <row r="6" spans="1:22">
      <c r="A6" s="3" t="s">
        <v>23</v>
      </c>
      <c r="B6" s="12">
        <v>0</v>
      </c>
      <c r="C6" s="12">
        <v>0</v>
      </c>
      <c r="D6" s="12">
        <v>0</v>
      </c>
      <c r="E6" s="12">
        <v>0</v>
      </c>
      <c r="F6" s="12">
        <v>0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12">
        <v>0</v>
      </c>
      <c r="U6" s="12">
        <v>0</v>
      </c>
    </row>
    <row r="7" spans="1:22">
      <c r="A7" s="3" t="s">
        <v>24</v>
      </c>
      <c r="B7" s="13">
        <f>B5*B6</f>
        <v>0</v>
      </c>
      <c r="C7" s="13">
        <f>C5*C6</f>
        <v>0</v>
      </c>
      <c r="D7" s="13">
        <f>D5*D6</f>
        <v>0</v>
      </c>
      <c r="E7" s="13">
        <f>E5*E6</f>
        <v>0</v>
      </c>
      <c r="F7" s="13">
        <f>F5*F6</f>
        <v>0</v>
      </c>
      <c r="G7" s="13">
        <f>G5*G6</f>
        <v>0</v>
      </c>
      <c r="H7" s="13">
        <f>H5*H6</f>
        <v>0</v>
      </c>
      <c r="I7" s="13">
        <f>I5*I6</f>
        <v>0</v>
      </c>
      <c r="J7" s="13">
        <f>J5*J6</f>
        <v>0</v>
      </c>
      <c r="K7" s="13">
        <f>K5*K6</f>
        <v>0</v>
      </c>
      <c r="L7" s="13">
        <f>L5*L6</f>
        <v>0</v>
      </c>
      <c r="M7" s="13">
        <f>M5*M6</f>
        <v>0</v>
      </c>
      <c r="N7" s="13">
        <f>N5*N6</f>
        <v>0</v>
      </c>
      <c r="O7" s="13">
        <f>O5*O6</f>
        <v>0</v>
      </c>
      <c r="P7" s="13">
        <f>P5*P6</f>
        <v>0</v>
      </c>
      <c r="Q7" s="13">
        <f>Q5*Q6</f>
        <v>0</v>
      </c>
      <c r="R7" s="13">
        <f>R5*R6</f>
        <v>0</v>
      </c>
      <c r="S7" s="13">
        <f>S5*S6</f>
        <v>0</v>
      </c>
      <c r="T7" s="13">
        <f>T5*T6</f>
        <v>0</v>
      </c>
      <c r="U7" s="13">
        <f>U5*U6</f>
        <v>0</v>
      </c>
      <c r="V7" s="14">
        <f>SUM(B7:U7)</f>
        <v>0</v>
      </c>
    </row>
    <row r="8" spans="1:22">
      <c r="A8" s="3" t="s">
        <v>25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12">
        <v>0</v>
      </c>
      <c r="V8" s="14">
        <f>SUM(B8:U8)</f>
        <v>0</v>
      </c>
    </row>
    <row r="9" spans="1:22">
      <c r="A9" s="3" t="s">
        <v>26</v>
      </c>
      <c r="B9" s="13">
        <f>IF(1&lt;='Inputs &amp; Assumptions'!$B$5,-'Inputs &amp; Assumptions'!$B$4/'Inputs &amp; Assumptions'!$B$5,0)</f>
        <v>0</v>
      </c>
      <c r="C9" s="13">
        <f>IF(2&lt;='Inputs &amp; Assumptions'!$B$5,-'Inputs &amp; Assumptions'!$B$4/'Inputs &amp; Assumptions'!$B$5,0)</f>
        <v>0</v>
      </c>
      <c r="D9" s="13">
        <f>IF(3&lt;='Inputs &amp; Assumptions'!$B$5,-'Inputs &amp; Assumptions'!$B$4/'Inputs &amp; Assumptions'!$B$5,0)</f>
        <v>0</v>
      </c>
      <c r="E9" s="13">
        <f>IF(4&lt;='Inputs &amp; Assumptions'!$B$5,-'Inputs &amp; Assumptions'!$B$4/'Inputs &amp; Assumptions'!$B$5,0)</f>
        <v>0</v>
      </c>
      <c r="F9" s="13">
        <f>IF(5&lt;='Inputs &amp; Assumptions'!$B$5,-'Inputs &amp; Assumptions'!$B$4/'Inputs &amp; Assumptions'!$B$5,0)</f>
        <v>0</v>
      </c>
      <c r="G9" s="13">
        <f>IF(6&lt;='Inputs &amp; Assumptions'!$B$5,-'Inputs &amp; Assumptions'!$B$4/'Inputs &amp; Assumptions'!$B$5,0)</f>
        <v>0</v>
      </c>
      <c r="H9" s="13">
        <f>IF(7&lt;='Inputs &amp; Assumptions'!$B$5,-'Inputs &amp; Assumptions'!$B$4/'Inputs &amp; Assumptions'!$B$5,0)</f>
        <v>0</v>
      </c>
      <c r="I9" s="13">
        <f>IF(8&lt;='Inputs &amp; Assumptions'!$B$5,-'Inputs &amp; Assumptions'!$B$4/'Inputs &amp; Assumptions'!$B$5,0)</f>
        <v>0</v>
      </c>
      <c r="J9" s="13">
        <f>IF(9&lt;='Inputs &amp; Assumptions'!$B$5,-'Inputs &amp; Assumptions'!$B$4/'Inputs &amp; Assumptions'!$B$5,0)</f>
        <v>0</v>
      </c>
      <c r="K9" s="13">
        <f>IF(10&lt;='Inputs &amp; Assumptions'!$B$5,-'Inputs &amp; Assumptions'!$B$4/'Inputs &amp; Assumptions'!$B$5,0)</f>
        <v>0</v>
      </c>
      <c r="L9" s="13">
        <f>IF(11&lt;='Inputs &amp; Assumptions'!$B$5,-'Inputs &amp; Assumptions'!$B$4/'Inputs &amp; Assumptions'!$B$5,0)</f>
        <v>0</v>
      </c>
      <c r="M9" s="13">
        <f>IF(12&lt;='Inputs &amp; Assumptions'!$B$5,-'Inputs &amp; Assumptions'!$B$4/'Inputs &amp; Assumptions'!$B$5,0)</f>
        <v>0</v>
      </c>
      <c r="N9" s="13">
        <f>IF(13&lt;='Inputs &amp; Assumptions'!$B$5,-'Inputs &amp; Assumptions'!$B$4/'Inputs &amp; Assumptions'!$B$5,0)</f>
        <v>0</v>
      </c>
      <c r="O9" s="13">
        <f>IF(14&lt;='Inputs &amp; Assumptions'!$B$5,-'Inputs &amp; Assumptions'!$B$4/'Inputs &amp; Assumptions'!$B$5,0)</f>
        <v>0</v>
      </c>
      <c r="P9" s="13">
        <f>IF(15&lt;='Inputs &amp; Assumptions'!$B$5,-'Inputs &amp; Assumptions'!$B$4/'Inputs &amp; Assumptions'!$B$5,0)</f>
        <v>0</v>
      </c>
      <c r="Q9" s="13">
        <f>IF(16&lt;='Inputs &amp; Assumptions'!$B$5,-'Inputs &amp; Assumptions'!$B$4/'Inputs &amp; Assumptions'!$B$5,0)</f>
        <v>0</v>
      </c>
      <c r="R9" s="13">
        <f>IF(17&lt;='Inputs &amp; Assumptions'!$B$5,-'Inputs &amp; Assumptions'!$B$4/'Inputs &amp; Assumptions'!$B$5,0)</f>
        <v>0</v>
      </c>
      <c r="S9" s="13">
        <f>IF(18&lt;='Inputs &amp; Assumptions'!$B$5,-'Inputs &amp; Assumptions'!$B$4/'Inputs &amp; Assumptions'!$B$5,0)</f>
        <v>0</v>
      </c>
      <c r="T9" s="13">
        <f>IF(19&lt;='Inputs &amp; Assumptions'!$B$5,-'Inputs &amp; Assumptions'!$B$4/'Inputs &amp; Assumptions'!$B$5,0)</f>
        <v>0</v>
      </c>
      <c r="U9" s="13">
        <f>IF(20&lt;='Inputs &amp; Assumptions'!$B$5,-'Inputs &amp; Assumptions'!$B$4/'Inputs &amp; Assumptions'!$B$5,0)</f>
        <v>0</v>
      </c>
      <c r="V9" s="14">
        <f>SUM(B9:U9)</f>
        <v>0</v>
      </c>
    </row>
    <row r="10" spans="1:22">
      <c r="A10" s="3" t="s">
        <v>27</v>
      </c>
      <c r="B10" s="13">
        <f>B7+B9</f>
        <v>0</v>
      </c>
      <c r="C10" s="13">
        <f>C7+C9</f>
        <v>0</v>
      </c>
      <c r="D10" s="13">
        <f>D7+D9</f>
        <v>0</v>
      </c>
      <c r="E10" s="13">
        <f>E7+E9</f>
        <v>0</v>
      </c>
      <c r="F10" s="13">
        <f>F7+F9</f>
        <v>0</v>
      </c>
      <c r="G10" s="13">
        <f>G7+G9</f>
        <v>0</v>
      </c>
      <c r="H10" s="13">
        <f>H7+H9</f>
        <v>0</v>
      </c>
      <c r="I10" s="13">
        <f>I7+I9</f>
        <v>0</v>
      </c>
      <c r="J10" s="13">
        <f>J7+J9</f>
        <v>0</v>
      </c>
      <c r="K10" s="13">
        <f>K7+K9</f>
        <v>0</v>
      </c>
      <c r="L10" s="13">
        <f>L7+L9</f>
        <v>0</v>
      </c>
      <c r="M10" s="13">
        <f>M7+M9</f>
        <v>0</v>
      </c>
      <c r="N10" s="13">
        <f>N7+N9</f>
        <v>0</v>
      </c>
      <c r="O10" s="13">
        <f>O7+O9</f>
        <v>0</v>
      </c>
      <c r="P10" s="13">
        <f>P7+P9</f>
        <v>0</v>
      </c>
      <c r="Q10" s="13">
        <f>Q7+Q9</f>
        <v>0</v>
      </c>
      <c r="R10" s="13">
        <f>R7+R9</f>
        <v>0</v>
      </c>
      <c r="S10" s="13">
        <f>S7+S9</f>
        <v>0</v>
      </c>
      <c r="T10" s="13">
        <f>T7+T9</f>
        <v>0</v>
      </c>
      <c r="U10" s="13">
        <f>U7+U9</f>
        <v>0</v>
      </c>
      <c r="V10" s="14">
        <f>SUM(B10:U10)</f>
        <v>0</v>
      </c>
    </row>
    <row r="11" spans="1:22">
      <c r="A11" s="3" t="s">
        <v>28</v>
      </c>
      <c r="B11" s="11">
        <f>1/((1+'Inputs &amp; Assumptions'!$B$3)^(1-1))</f>
        <v>0</v>
      </c>
      <c r="C11" s="11">
        <f>1/((1+'Inputs &amp; Assumptions'!$B$3)^(2-1))</f>
        <v>0</v>
      </c>
      <c r="D11" s="11">
        <f>1/((1+'Inputs &amp; Assumptions'!$B$3)^(3-1))</f>
        <v>0</v>
      </c>
      <c r="E11" s="11">
        <f>1/((1+'Inputs &amp; Assumptions'!$B$3)^(4-1))</f>
        <v>0</v>
      </c>
      <c r="F11" s="11">
        <f>1/((1+'Inputs &amp; Assumptions'!$B$3)^(5-1))</f>
        <v>0</v>
      </c>
      <c r="G11" s="11">
        <f>1/((1+'Inputs &amp; Assumptions'!$B$3)^(6-1))</f>
        <v>0</v>
      </c>
      <c r="H11" s="11">
        <f>1/((1+'Inputs &amp; Assumptions'!$B$3)^(7-1))</f>
        <v>0</v>
      </c>
      <c r="I11" s="11">
        <f>1/((1+'Inputs &amp; Assumptions'!$B$3)^(8-1))</f>
        <v>0</v>
      </c>
      <c r="J11" s="11">
        <f>1/((1+'Inputs &amp; Assumptions'!$B$3)^(9-1))</f>
        <v>0</v>
      </c>
      <c r="K11" s="11">
        <f>1/((1+'Inputs &amp; Assumptions'!$B$3)^(10-1))</f>
        <v>0</v>
      </c>
      <c r="L11" s="11">
        <f>1/((1+'Inputs &amp; Assumptions'!$B$3)^(11-1))</f>
        <v>0</v>
      </c>
      <c r="M11" s="11">
        <f>1/((1+'Inputs &amp; Assumptions'!$B$3)^(12-1))</f>
        <v>0</v>
      </c>
      <c r="N11" s="11">
        <f>1/((1+'Inputs &amp; Assumptions'!$B$3)^(13-1))</f>
        <v>0</v>
      </c>
      <c r="O11" s="11">
        <f>1/((1+'Inputs &amp; Assumptions'!$B$3)^(14-1))</f>
        <v>0</v>
      </c>
      <c r="P11" s="11">
        <f>1/((1+'Inputs &amp; Assumptions'!$B$3)^(15-1))</f>
        <v>0</v>
      </c>
      <c r="Q11" s="11">
        <f>1/((1+'Inputs &amp; Assumptions'!$B$3)^(16-1))</f>
        <v>0</v>
      </c>
      <c r="R11" s="11">
        <f>1/((1+'Inputs &amp; Assumptions'!$B$3)^(17-1))</f>
        <v>0</v>
      </c>
      <c r="S11" s="11">
        <f>1/((1+'Inputs &amp; Assumptions'!$B$3)^(18-1))</f>
        <v>0</v>
      </c>
      <c r="T11" s="11">
        <f>1/((1+'Inputs &amp; Assumptions'!$B$3)^(19-1))</f>
        <v>0</v>
      </c>
      <c r="U11" s="11">
        <f>1/((1+'Inputs &amp; Assumptions'!$B$3)^(20-1))</f>
        <v>0</v>
      </c>
    </row>
    <row r="12" spans="1:22">
      <c r="A12" s="3" t="s">
        <v>29</v>
      </c>
      <c r="B12" s="13">
        <f>B10*B11</f>
        <v>0</v>
      </c>
      <c r="C12" s="13">
        <f>C10*C11</f>
        <v>0</v>
      </c>
      <c r="D12" s="13">
        <f>D10*D11</f>
        <v>0</v>
      </c>
      <c r="E12" s="13">
        <f>E10*E11</f>
        <v>0</v>
      </c>
      <c r="F12" s="13">
        <f>F10*F11</f>
        <v>0</v>
      </c>
      <c r="G12" s="13">
        <f>G10*G11</f>
        <v>0</v>
      </c>
      <c r="H12" s="13">
        <f>H10*H11</f>
        <v>0</v>
      </c>
      <c r="I12" s="13">
        <f>I10*I11</f>
        <v>0</v>
      </c>
      <c r="J12" s="13">
        <f>J10*J11</f>
        <v>0</v>
      </c>
      <c r="K12" s="13">
        <f>K10*K11</f>
        <v>0</v>
      </c>
      <c r="L12" s="13">
        <f>L10*L11</f>
        <v>0</v>
      </c>
      <c r="M12" s="13">
        <f>M10*M11</f>
        <v>0</v>
      </c>
      <c r="N12" s="13">
        <f>N10*N11</f>
        <v>0</v>
      </c>
      <c r="O12" s="13">
        <f>O10*O11</f>
        <v>0</v>
      </c>
      <c r="P12" s="13">
        <f>P10*P11</f>
        <v>0</v>
      </c>
      <c r="Q12" s="13">
        <f>Q10*Q11</f>
        <v>0</v>
      </c>
      <c r="R12" s="13">
        <f>R10*R11</f>
        <v>0</v>
      </c>
      <c r="S12" s="13">
        <f>S10*S11</f>
        <v>0</v>
      </c>
      <c r="T12" s="13">
        <f>T10*T11</f>
        <v>0</v>
      </c>
      <c r="U12" s="13">
        <f>U10*U11</f>
        <v>0</v>
      </c>
      <c r="V12" s="14">
        <f>SUM(B12:U12)</f>
        <v>0</v>
      </c>
    </row>
    <row r="13" spans="1:22">
      <c r="A13" s="3" t="s">
        <v>30</v>
      </c>
      <c r="B13" s="13">
        <f>B10</f>
        <v>0</v>
      </c>
      <c r="C13" s="13">
        <f>B13+C10</f>
        <v>0</v>
      </c>
      <c r="D13" s="13">
        <f>C13+D10</f>
        <v>0</v>
      </c>
      <c r="E13" s="13">
        <f>D13+E10</f>
        <v>0</v>
      </c>
      <c r="F13" s="13">
        <f>E13+F10</f>
        <v>0</v>
      </c>
      <c r="G13" s="13">
        <f>F13+G10</f>
        <v>0</v>
      </c>
      <c r="H13" s="13">
        <f>G13+H10</f>
        <v>0</v>
      </c>
      <c r="I13" s="13">
        <f>H13+I10</f>
        <v>0</v>
      </c>
      <c r="J13" s="13">
        <f>I13+J10</f>
        <v>0</v>
      </c>
      <c r="K13" s="13">
        <f>J13+K10</f>
        <v>0</v>
      </c>
      <c r="L13" s="13">
        <f>K13+L10</f>
        <v>0</v>
      </c>
      <c r="M13" s="13">
        <f>L13+M10</f>
        <v>0</v>
      </c>
      <c r="N13" s="13">
        <f>M13+N10</f>
        <v>0</v>
      </c>
      <c r="O13" s="13">
        <f>N13+O10</f>
        <v>0</v>
      </c>
      <c r="P13" s="13">
        <f>O13+P10</f>
        <v>0</v>
      </c>
      <c r="Q13" s="13">
        <f>P13+Q10</f>
        <v>0</v>
      </c>
      <c r="R13" s="13">
        <f>Q13+R10</f>
        <v>0</v>
      </c>
      <c r="S13" s="13">
        <f>R13+S10</f>
        <v>0</v>
      </c>
      <c r="T13" s="13">
        <f>S13+T10</f>
        <v>0</v>
      </c>
      <c r="U13" s="13">
        <f>T13+U10</f>
        <v>0</v>
      </c>
    </row>
    <row r="14" spans="1:22">
      <c r="A14" s="3" t="s">
        <v>31</v>
      </c>
      <c r="B14" s="13">
        <f>B12</f>
        <v>0</v>
      </c>
      <c r="C14" s="13">
        <f>B14+C12</f>
        <v>0</v>
      </c>
      <c r="D14" s="13">
        <f>C14+D12</f>
        <v>0</v>
      </c>
      <c r="E14" s="13">
        <f>D14+E12</f>
        <v>0</v>
      </c>
      <c r="F14" s="13">
        <f>E14+F12</f>
        <v>0</v>
      </c>
      <c r="G14" s="13">
        <f>F14+G12</f>
        <v>0</v>
      </c>
      <c r="H14" s="13">
        <f>G14+H12</f>
        <v>0</v>
      </c>
      <c r="I14" s="13">
        <f>H14+I12</f>
        <v>0</v>
      </c>
      <c r="J14" s="13">
        <f>I14+J12</f>
        <v>0</v>
      </c>
      <c r="K14" s="13">
        <f>J14+K12</f>
        <v>0</v>
      </c>
      <c r="L14" s="13">
        <f>K14+L12</f>
        <v>0</v>
      </c>
      <c r="M14" s="13">
        <f>L14+M12</f>
        <v>0</v>
      </c>
      <c r="N14" s="13">
        <f>M14+N12</f>
        <v>0</v>
      </c>
      <c r="O14" s="13">
        <f>N14+O12</f>
        <v>0</v>
      </c>
      <c r="P14" s="13">
        <f>O14+P12</f>
        <v>0</v>
      </c>
      <c r="Q14" s="13">
        <f>P14+Q12</f>
        <v>0</v>
      </c>
      <c r="R14" s="13">
        <f>Q14+R12</f>
        <v>0</v>
      </c>
      <c r="S14" s="13">
        <f>R14+S12</f>
        <v>0</v>
      </c>
      <c r="T14" s="13">
        <f>S14+T12</f>
        <v>0</v>
      </c>
      <c r="U14" s="13">
        <f>T14+U12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cols>
    <col min="1" max="1" width="35.7109375" customWidth="1"/>
    <col min="2" max="2" width="20.7109375" customWidth="1"/>
    <col min="3" max="3" width="30.7109375" customWidth="1"/>
  </cols>
  <sheetData>
    <row r="1" spans="1:3">
      <c r="A1" s="1" t="s">
        <v>32</v>
      </c>
    </row>
    <row r="3" spans="1:3">
      <c r="A3" s="2" t="s">
        <v>33</v>
      </c>
    </row>
    <row r="4" spans="1:3">
      <c r="A4" s="3" t="s">
        <v>34</v>
      </c>
      <c r="B4" s="14">
        <f>SUM('Valuation Schedule'!B12:U12)</f>
        <v>0</v>
      </c>
    </row>
    <row r="5" spans="1:3">
      <c r="A5" s="3" t="s">
        <v>35</v>
      </c>
      <c r="B5" s="15">
        <f>IRR('Valuation Schedule'!B10:U10)</f>
        <v>0</v>
      </c>
      <c r="C5" s="7" t="s">
        <v>36</v>
      </c>
    </row>
    <row r="6" spans="1:3">
      <c r="A6" s="3" t="s">
        <v>37</v>
      </c>
      <c r="B6" s="10">
        <f>MATCH(0,'Valuation Schedule'!B13:U13,1)</f>
        <v>0</v>
      </c>
      <c r="C6" s="7" t="s">
        <v>38</v>
      </c>
    </row>
    <row r="8" spans="1:3">
      <c r="A8" s="2" t="s">
        <v>39</v>
      </c>
    </row>
    <row r="9" spans="1:3">
      <c r="A9" s="3" t="s">
        <v>6</v>
      </c>
      <c r="B9" s="15">
        <f>'Inputs &amp; Assumptions'!$B$7</f>
        <v>0</v>
      </c>
    </row>
    <row r="10" spans="1:3">
      <c r="A10" s="3" t="s">
        <v>7</v>
      </c>
      <c r="B10" s="15">
        <f>'Inputs &amp; Assumptions'!$B$8</f>
        <v>0</v>
      </c>
    </row>
    <row r="11" spans="1:3">
      <c r="A11" s="3" t="s">
        <v>40</v>
      </c>
      <c r="B11" s="1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41</v>
      </c>
    </row>
    <row r="2" spans="1:1">
      <c r="A2" s="16" t="s">
        <v>42</v>
      </c>
    </row>
    <row r="3" spans="1:1">
      <c r="A3" s="16" t="s">
        <v>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44</v>
      </c>
    </row>
    <row r="3" spans="1:2">
      <c r="A3" s="2" t="s">
        <v>45</v>
      </c>
    </row>
    <row r="4" spans="1:2">
      <c r="A4" s="3" t="s">
        <v>6</v>
      </c>
      <c r="B4" s="4">
        <v>0.2</v>
      </c>
    </row>
    <row r="5" spans="1:2">
      <c r="A5" s="3" t="s">
        <v>46</v>
      </c>
      <c r="B5" s="7" t="s">
        <v>47</v>
      </c>
    </row>
    <row r="7" spans="1:2">
      <c r="A7" s="2" t="s">
        <v>48</v>
      </c>
    </row>
    <row r="8" spans="1:2">
      <c r="A8" s="3" t="s">
        <v>49</v>
      </c>
    </row>
    <row r="9" spans="1:2">
      <c r="A9" s="3" t="s">
        <v>40</v>
      </c>
    </row>
    <row r="10" spans="1:2">
      <c r="A10" s="3" t="s">
        <v>50</v>
      </c>
      <c r="B10" s="7" t="s">
        <v>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52</v>
      </c>
    </row>
    <row r="3" spans="1:2">
      <c r="A3" s="2" t="s">
        <v>45</v>
      </c>
    </row>
    <row r="4" spans="1:2">
      <c r="A4" s="3" t="s">
        <v>18</v>
      </c>
      <c r="B4" s="8">
        <v>5000</v>
      </c>
    </row>
    <row r="5" spans="1:2">
      <c r="A5" s="3" t="s">
        <v>13</v>
      </c>
      <c r="B5" s="7" t="s">
        <v>14</v>
      </c>
    </row>
    <row r="6" spans="1:2">
      <c r="A6" s="3" t="s">
        <v>50</v>
      </c>
      <c r="B6" s="7" t="s">
        <v>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53</v>
      </c>
    </row>
    <row r="3" spans="1:2">
      <c r="A3" s="2" t="s">
        <v>45</v>
      </c>
    </row>
    <row r="4" spans="1:2">
      <c r="A4" s="3" t="s">
        <v>54</v>
      </c>
      <c r="B4" s="6">
        <v>0.8</v>
      </c>
    </row>
    <row r="5" spans="1:2">
      <c r="A5" s="3" t="s">
        <v>55</v>
      </c>
      <c r="B5" s="6">
        <v>1.2</v>
      </c>
    </row>
    <row r="6" spans="1:2">
      <c r="A6" s="3" t="s">
        <v>56</v>
      </c>
      <c r="B6" s="6">
        <v>0.9</v>
      </c>
    </row>
    <row r="7" spans="1:2">
      <c r="A7" s="3" t="s">
        <v>57</v>
      </c>
      <c r="B7" s="6">
        <v>1.1</v>
      </c>
    </row>
    <row r="8" spans="1:2">
      <c r="A8" s="3" t="s">
        <v>50</v>
      </c>
      <c r="B8" s="7" t="s">
        <v>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58</v>
      </c>
    </row>
    <row r="3" spans="1:2">
      <c r="A3" s="2" t="s">
        <v>45</v>
      </c>
    </row>
    <row r="4" spans="1:2">
      <c r="A4" s="3" t="s">
        <v>59</v>
      </c>
      <c r="B4" s="7" t="s">
        <v>60</v>
      </c>
    </row>
    <row r="5" spans="1:2">
      <c r="A5" s="3" t="s">
        <v>61</v>
      </c>
      <c r="B5" s="17">
        <v>0</v>
      </c>
    </row>
    <row r="6" spans="1:2">
      <c r="A6" s="3" t="s">
        <v>50</v>
      </c>
      <c r="B6" s="7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Inputs &amp; Assumptions</vt:lpstr>
      <vt:lpstr>Valuation Schedule</vt:lpstr>
      <vt:lpstr>Summary &amp; Results</vt:lpstr>
      <vt:lpstr>Analysis</vt:lpstr>
      <vt:lpstr>Deal Valuation</vt:lpstr>
      <vt:lpstr>Monte Carlo Results</vt:lpstr>
      <vt:lpstr>Sensitivity Analysis</vt:lpstr>
      <vt:lpstr>Breakeven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2025-12-14T03:12:57Z</dcterms:created>
  <dcterms:modified xsi:type="dcterms:W3CDTF">2025-12-14T03:12:57Z</dcterms:modified>
</cp:coreProperties>
</file>