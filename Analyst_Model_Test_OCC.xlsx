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castellas\Downloads\"/>
    </mc:Choice>
  </mc:AlternateContent>
  <xr:revisionPtr revIDLastSave="0" documentId="13_ncr:1_{95F1ADB8-5664-4B33-8B1E-6FED472C45E0}" xr6:coauthVersionLast="47" xr6:coauthVersionMax="47" xr10:uidLastSave="{00000000-0000-0000-0000-000000000000}"/>
  <bookViews>
    <workbookView xWindow="-110" yWindow="-110" windowWidth="25180" windowHeight="16140" activeTab="1" xr2:uid="{9ADCC218-D3F7-4D73-B42A-C17D2C48E0E4}"/>
  </bookViews>
  <sheets>
    <sheet name="Inputs" sheetId="2" r:id="rId1"/>
    <sheet name="Calculations" sheetId="4" r:id="rId2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4" l="1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W14" i="4"/>
  <c r="W56" i="4" s="1"/>
  <c r="V14" i="4"/>
  <c r="V56" i="4" s="1"/>
  <c r="U14" i="4"/>
  <c r="U56" i="4" s="1"/>
  <c r="T14" i="4"/>
  <c r="T56" i="4" s="1"/>
  <c r="S14" i="4"/>
  <c r="S21" i="4" s="1"/>
  <c r="R14" i="4"/>
  <c r="R56" i="4" s="1"/>
  <c r="Q14" i="4"/>
  <c r="P14" i="4"/>
  <c r="O14" i="4"/>
  <c r="N14" i="4"/>
  <c r="N21" i="4" s="1"/>
  <c r="M14" i="4"/>
  <c r="M56" i="4" s="1"/>
  <c r="L14" i="4"/>
  <c r="K14" i="4"/>
  <c r="K56" i="4" s="1"/>
  <c r="J14" i="4"/>
  <c r="J56" i="4" s="1"/>
  <c r="I14" i="4"/>
  <c r="I56" i="4" s="1"/>
  <c r="H14" i="4"/>
  <c r="H56" i="4" s="1"/>
  <c r="G14" i="4"/>
  <c r="G21" i="4" s="1"/>
  <c r="F14" i="4"/>
  <c r="F56" i="4" s="1"/>
  <c r="E14" i="4"/>
  <c r="D14" i="4"/>
  <c r="W13" i="4"/>
  <c r="W28" i="4" s="1"/>
  <c r="V13" i="4"/>
  <c r="V28" i="4" s="1"/>
  <c r="U13" i="4"/>
  <c r="U28" i="4" s="1"/>
  <c r="T13" i="4"/>
  <c r="T28" i="4" s="1"/>
  <c r="S13" i="4"/>
  <c r="S28" i="4" s="1"/>
  <c r="R13" i="4"/>
  <c r="R28" i="4" s="1"/>
  <c r="Q13" i="4"/>
  <c r="Q28" i="4" s="1"/>
  <c r="P13" i="4"/>
  <c r="P28" i="4" s="1"/>
  <c r="O13" i="4"/>
  <c r="O28" i="4" s="1"/>
  <c r="N13" i="4"/>
  <c r="N28" i="4" s="1"/>
  <c r="M13" i="4"/>
  <c r="M28" i="4" s="1"/>
  <c r="L13" i="4"/>
  <c r="L28" i="4" s="1"/>
  <c r="K13" i="4"/>
  <c r="K28" i="4" s="1"/>
  <c r="J13" i="4"/>
  <c r="J28" i="4" s="1"/>
  <c r="I13" i="4"/>
  <c r="I28" i="4" s="1"/>
  <c r="H13" i="4"/>
  <c r="H28" i="4" s="1"/>
  <c r="G13" i="4"/>
  <c r="G28" i="4" s="1"/>
  <c r="F13" i="4"/>
  <c r="F28" i="4" s="1"/>
  <c r="E13" i="4"/>
  <c r="E28" i="4" s="1"/>
  <c r="D13" i="4"/>
  <c r="D28" i="4" s="1"/>
  <c r="W15" i="2"/>
  <c r="O21" i="4" l="1"/>
  <c r="L21" i="4"/>
  <c r="P21" i="4"/>
  <c r="D21" i="4"/>
  <c r="E21" i="4"/>
  <c r="Q21" i="4"/>
  <c r="C27" i="4"/>
  <c r="C26" i="4"/>
  <c r="C20" i="4"/>
  <c r="F21" i="4"/>
  <c r="I21" i="4"/>
  <c r="R21" i="4"/>
  <c r="U21" i="4"/>
  <c r="M21" i="4"/>
  <c r="D29" i="4"/>
  <c r="C28" i="4"/>
  <c r="L56" i="4"/>
  <c r="C13" i="4"/>
  <c r="J21" i="4"/>
  <c r="V21" i="4"/>
  <c r="K21" i="4"/>
  <c r="W21" i="4"/>
  <c r="N56" i="4"/>
  <c r="O56" i="4"/>
  <c r="H21" i="4"/>
  <c r="D56" i="4"/>
  <c r="P56" i="4"/>
  <c r="E56" i="4"/>
  <c r="Q56" i="4"/>
  <c r="G56" i="4"/>
  <c r="S56" i="4"/>
  <c r="T21" i="4"/>
  <c r="C14" i="4"/>
  <c r="B33" i="4" l="1"/>
  <c r="B41" i="4" s="1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C56" i="4"/>
  <c r="C21" i="4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D3" i="2"/>
  <c r="D4" i="2"/>
  <c r="B34" i="4" l="1" a="1"/>
  <c r="B34" i="4" s="1"/>
  <c r="B35" i="4"/>
  <c r="C2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<sst xmlns="http://schemas.openxmlformats.org/spreadsheetml/2006/main" count="61" uniqueCount="33">
  <si>
    <t>Project Implementation Costs</t>
  </si>
  <si>
    <t>Carbon Price Curve</t>
  </si>
  <si>
    <t>Total</t>
  </si>
  <si>
    <t>Units</t>
  </si>
  <si>
    <t>USD</t>
  </si>
  <si>
    <t>Carbon Credits Issued</t>
  </si>
  <si>
    <t>Credits</t>
  </si>
  <si>
    <t>Rubicon Investment</t>
  </si>
  <si>
    <t>Streaming Percentage</t>
  </si>
  <si>
    <t>Project Developer</t>
  </si>
  <si>
    <t>Rubicon</t>
  </si>
  <si>
    <t>Rubicon Cash Flows</t>
  </si>
  <si>
    <t>Investment</t>
  </si>
  <si>
    <t>IRR</t>
  </si>
  <si>
    <t>Payback period</t>
  </si>
  <si>
    <t>Project Developer Cash Flows</t>
  </si>
  <si>
    <t>Credit Price Multiplier</t>
  </si>
  <si>
    <t>Credit Volume Multiplier</t>
  </si>
  <si>
    <t>ASSUMPTIONS</t>
  </si>
  <si>
    <t>CARBON CREDIT ALLOCATION</t>
  </si>
  <si>
    <t>CASH FLOW ANALYSIS</t>
  </si>
  <si>
    <t xml:space="preserve">Revenue </t>
  </si>
  <si>
    <t>Net Flows</t>
  </si>
  <si>
    <t>RUBICON CARBON - NICARAGUA PROJECT ANALYSIS</t>
  </si>
  <si>
    <t>Developer Credit Revenue</t>
  </si>
  <si>
    <t>Cumulative Cash Balance</t>
  </si>
  <si>
    <t>Minimum Cash Balance</t>
  </si>
  <si>
    <t>KEY METRICS</t>
  </si>
  <si>
    <t>SENSITIVITY ANALYSIS - IRR TO CREDIT PRICE &amp; VOLUME</t>
  </si>
  <si>
    <t>IRR Sensitivity Analysis Table</t>
  </si>
  <si>
    <t>Rubicon Credits Streamed</t>
  </si>
  <si>
    <t>VOLUME / PRICE CHART</t>
  </si>
  <si>
    <t>$/tCO2e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</si>
</sst>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4" fontId="1" fillId="0" borderId="0" xfId="1" applyNumberFormat="1" applyFont="1" applyBorder="1"/>
    <xf numFmtId="9" fontId="0" fillId="2" borderId="0" xfId="0" applyNumberFormat="1" applyFill="1"/>
    <xf numFmtId="164" fontId="0" fillId="0" borderId="0" xfId="1" applyNumberFormat="1" applyFont="1"/>
    <xf numFmtId="0" fontId="5" fillId="0" borderId="0" xfId="0" applyFont="1"/>
    <xf numFmtId="0" fontId="4" fillId="3" borderId="0" xfId="0" quotePrefix="1" applyFont="1" applyFill="1"/>
    <xf numFmtId="167" fontId="4" fillId="3" borderId="0" xfId="0" applyNumberFormat="1" applyFont="1" applyFill="1"/>
    <xf numFmtId="0" fontId="0" fillId="0" borderId="0" xfId="0" applyAlignment="1">
      <alignment horizontal="lef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9" fontId="6" fillId="0" borderId="0" xfId="2" applyFont="1"/>
    <xf numFmtId="2" fontId="4" fillId="0" borderId="0" xfId="2" applyNumberFormat="1" applyFont="1"/>
    <xf numFmtId="0" fontId="2" fillId="0" borderId="0" xfId="0" applyFont="1"/>
    <xf numFmtId="0" fontId="2" fillId="4" borderId="2" xfId="0" applyFont="1" applyFill="1" applyBorder="1"/>
    <xf numFmtId="0" fontId="0" fillId="4" borderId="2" xfId="0" applyFill="1" applyBorder="1"/>
    <xf numFmtId="1" fontId="0" fillId="2" borderId="0" xfId="0" applyNumberFormat="1" applyFill="1"/>
    <xf numFmtId="0" fontId="7" fillId="0" borderId="0" xfId="0" applyFont="1"/>
    <xf numFmtId="0" fontId="4" fillId="4" borderId="0" xfId="0" applyFont="1" applyFill="1"/>
    <xf numFmtId="166" fontId="2" fillId="3" borderId="0" xfId="0" applyNumberFormat="1" applyFont="1" applyFill="1"/>
    <xf numFmtId="0" fontId="2" fillId="4" borderId="0" xfId="0" applyFont="1" applyFill="1"/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2" xfId="0" applyFill="1" applyBorder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0" fillId="2" borderId="0" xfId="0" applyNumberFormat="1" applyFill="1"/>
    <xf numFmtId="43" fontId="0" fillId="0" borderId="0" xfId="1" applyFont="1"/>
    <xf numFmtId="164" fontId="0" fillId="0" borderId="0" xfId="1" applyNumberFormat="1" applyFont="1" applyAlignment="1">
      <alignment horizontal="right"/>
    </xf>
    <xf numFmtId="1" fontId="2" fillId="0" borderId="1" xfId="0" applyNumberFormat="1" applyFont="1" applyBorder="1"/>
    <xf numFmtId="9" fontId="0" fillId="0" borderId="0" xfId="2" applyFo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Calculations!$A$55</c:f>
              <c:strCache>
                <c:ptCount val="1"/>
                <c:pt idx="0">
                  <c:v>Carbon Credits Issued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Calculations!$D$54:$W$54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Calculations!$D$55:$W$55</c:f>
              <c:numCache>
                <c:formatCode>_(* #,##0_);_(* \(#,##0\);_(*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510.565</c:v>
                </c:pt>
                <c:pt idx="4">
                  <c:v>3423.8</c:v>
                </c:pt>
                <c:pt idx="5">
                  <c:v>12061.855</c:v>
                </c:pt>
                <c:pt idx="6">
                  <c:v>35095.33</c:v>
                </c:pt>
                <c:pt idx="7">
                  <c:v>85150.28</c:v>
                </c:pt>
                <c:pt idx="8">
                  <c:v>157885.215</c:v>
                </c:pt>
                <c:pt idx="9">
                  <c:v>246637.505</c:v>
                </c:pt>
                <c:pt idx="10">
                  <c:v>338617.37</c:v>
                </c:pt>
                <c:pt idx="11">
                  <c:v>392048.01</c:v>
                </c:pt>
                <c:pt idx="12">
                  <c:v>421854.995</c:v>
                </c:pt>
                <c:pt idx="13">
                  <c:v>457601.33499999996</c:v>
                </c:pt>
                <c:pt idx="14">
                  <c:v>473464.19</c:v>
                </c:pt>
                <c:pt idx="15">
                  <c:v>479439.40500000003</c:v>
                </c:pt>
                <c:pt idx="16">
                  <c:v>470634.74</c:v>
                </c:pt>
                <c:pt idx="17">
                  <c:v>459002.94500000001</c:v>
                </c:pt>
                <c:pt idx="18">
                  <c:v>439983.875</c:v>
                </c:pt>
                <c:pt idx="19">
                  <c:v>415157.95499999996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E-4375-AEFE-FDB509A0F543}"/>
            </c:ext>
          </c:extLst>
        </c:ser>
        <c:ser>
          <c:idx val="1"/>
          <c:order val="1"/>
          <c:tx>
            <c:strRef>
              <c:f>Calculations!$A$56</c:f>
              <c:strCache>
                <c:ptCount val="1"/>
                <c:pt idx="0">
                  <c:v>Rubicon Credits Streamed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Calculations!$D$54:$W$54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Calculations!$D$56:$W$56</c:f>
              <c:numCache>
                <c:formatCode>_(* #,##0_);_(* \(#,##0\);_(*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245.07119999999998</c:v>
                </c:pt>
                <c:pt idx="4">
                  <c:v>1643.424</c:v>
                </c:pt>
                <c:pt idx="5">
                  <c:v>5789.6903999999995</c:v>
                </c:pt>
                <c:pt idx="6">
                  <c:v>16845.758399999999</c:v>
                </c:pt>
                <c:pt idx="7">
                  <c:v>40872.134399999995</c:v>
                </c:pt>
                <c:pt idx="8">
                  <c:v>75784.903200000001</c:v>
                </c:pt>
                <c:pt idx="9">
                  <c:v>118386.0024</c:v>
                </c:pt>
                <c:pt idx="10">
                  <c:v>162536.3376</c:v>
                </c:pt>
                <c:pt idx="11">
                  <c:v>188183.0448</c:v>
                </c:pt>
                <c:pt idx="12">
                  <c:v>202490.3976</c:v>
                </c:pt>
                <c:pt idx="13">
                  <c:v>219648.64079999996</c:v>
                </c:pt>
                <c:pt idx="14">
                  <c:v>227262.8112</c:v>
                </c:pt>
                <c:pt idx="15">
                  <c:v>230130.91440000001</c:v>
                </c:pt>
                <c:pt idx="16">
                  <c:v>225904.6752</c:v>
                </c:pt>
                <c:pt idx="17">
                  <c:v>220321.4136</c:v>
                </c:pt>
                <c:pt idx="18">
                  <c:v>211192.25999999998</c:v>
                </c:pt>
                <c:pt idx="19">
                  <c:v>199275.81839999996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E-4375-AEFE-FDB509A0F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3938832"/>
        <c:axId val="853940752"/>
      </c:barChart>
      <c:lineChart>
        <c:grouping val="standard"/>
        <c:varyColors val="0"/>
        <c:ser>
          <c:idx val="2"/>
          <c:order val="2"/>
          <c:tx>
            <c:strRef>
              <c:f>Calculations!$A$57</c:f>
              <c:strCache>
                <c:ptCount val="1"/>
                <c:pt idx="0">
                  <c:v>Carbon Price Curve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Calculations!$D$54:$W$54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Calculations!$D$57:$W$57</c:f>
              <c:numCache>
                <c:formatCode>"$"#,##0.00</c:formatCode>
                <c:ptCount val="20"/>
                <c:pt idx="0">
                  <c:v>40</c:v>
                </c:pt>
                <c:pt idx="1">
                  <c:v>41.6</c:v>
                </c:pt>
                <c:pt idx="2">
                  <c:v>43.26</c:v>
                </c:pt>
                <c:pt idx="3">
                  <c:v>44.99</c:v>
                </c:pt>
                <c:pt idx="4">
                  <c:v>46.79</c:v>
                </c:pt>
                <c:pt idx="5">
                  <c:v>48.67</c:v>
                </c:pt>
                <c:pt idx="6">
                  <c:v>50.61</c:v>
                </c:pt>
                <c:pt idx="7">
                  <c:v>52.64</c:v>
                </c:pt>
                <c:pt idx="8">
                  <c:v>54.74</c:v>
                </c:pt>
                <c:pt idx="9">
                  <c:v>56.93</c:v>
                </c:pt>
                <c:pt idx="10">
                  <c:v>59.21</c:v>
                </c:pt>
                <c:pt idx="11">
                  <c:v>61.58</c:v>
                </c:pt>
                <c:pt idx="12">
                  <c:v>64.040000000000006</c:v>
                </c:pt>
                <c:pt idx="13">
                  <c:v>66.599999999999994</c:v>
                </c:pt>
                <c:pt idx="14">
                  <c:v>69.27</c:v>
                </c:pt>
                <c:pt idx="15">
                  <c:v>72.040000000000006</c:v>
                </c:pt>
                <c:pt idx="16">
                  <c:v>74.92</c:v>
                </c:pt>
                <c:pt idx="17">
                  <c:v>77.92</c:v>
                </c:pt>
                <c:pt idx="18">
                  <c:v>81.03</c:v>
                </c:pt>
                <c:pt idx="19">
                  <c:v>84.27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E-4375-AEFE-FDB509A0F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656640"/>
        <c:axId val="798655200"/>
      </c:lineChart>
      <c:catAx>
        <c:axId val="8539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940752"/>
        <c:crosses val="autoZero"/>
        <c:auto val="1"/>
        <c:lblAlgn val="ctr"/>
        <c:lblOffset val="100"/>
        <c:noMultiLvlLbl val="0"/>
      </c:catAx>
      <c:valAx>
        <c:axId val="8539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938832"/>
        <c:crosses val="autoZero"/>
        <c:crossBetween val="between"/>
      </c:valAx>
      <c:valAx>
        <c:axId val="798655200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56640"/>
        <c:crosses val="max"/>
        <c:crossBetween val="between"/>
      </c:valAx>
      <c:catAx>
        <c:axId val="79865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865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115047</xdr:rowOff>
    </xdr:from>
    <xdr:to>
      <xdr:col>3</xdr:col>
      <xdr:colOff>702235</xdr:colOff>
      <xdr:row>73</xdr:row>
      <xdr:rowOff>56776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F88A3-BF0F-47C1-A61B-1CE44584E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$/tCO@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B87C-F40F-4E55-BF64-70AE98C028D8}">
  <dimension ref="B2:AR16"/>
  <sheetViews>
    <sheetView showGridLines="0" zoomScale="88" workbookViewId="0">
      <selection activeCell="E21" sqref="E21"/>
    </sheetView>
  </sheetViews>
  <sheetFormatPr defaultColWidth="8.81640625" defaultRowHeight="14.5" x14ac:dyDescent="0.35"/>
  <cols>
    <col min="1" max="1" width="3.6328125" customWidth="1"/>
    <col min="2" max="2" width="26.1796875" bestFit="1" customWidth="1"/>
    <col min="3" max="3" width="12.36328125" customWidth="1"/>
    <col min="4" max="4" width="13.7265625" customWidth="1"/>
    <col min="5" max="22" width="12.36328125" customWidth="1"/>
    <col min="23" max="23" width="13.7265625" customWidth="1"/>
    <col min="24" max="44" width="12.36328125" customWidth="1"/>
  </cols>
  <sheetData>
    <row r="2" spans="2:44" x14ac:dyDescent="0.35">
      <c r="B2" s="1"/>
      <c r="C2" s="1" t="s">
        <v>3</v>
      </c>
      <c r="D2" s="1" t="s">
        <v>2</v>
      </c>
      <c r="E2" s="1">
        <v>2025</v>
      </c>
      <c r="F2" s="1">
        <v>2026</v>
      </c>
      <c r="G2" s="1">
        <v>2027</v>
      </c>
      <c r="H2" s="1">
        <v>2028</v>
      </c>
      <c r="I2" s="1">
        <v>2029</v>
      </c>
      <c r="J2" s="1">
        <v>2030</v>
      </c>
      <c r="K2" s="1">
        <v>2031</v>
      </c>
      <c r="L2" s="1">
        <v>2032</v>
      </c>
      <c r="M2" s="1">
        <v>2033</v>
      </c>
      <c r="N2" s="1">
        <v>2034</v>
      </c>
      <c r="O2" s="1">
        <v>2035</v>
      </c>
      <c r="P2" s="1">
        <v>2036</v>
      </c>
      <c r="Q2" s="1">
        <v>2037</v>
      </c>
      <c r="R2" s="1">
        <v>2038</v>
      </c>
      <c r="S2" s="1">
        <v>2039</v>
      </c>
      <c r="T2" s="1">
        <v>2040</v>
      </c>
      <c r="U2" s="1">
        <v>2041</v>
      </c>
      <c r="V2" s="1">
        <v>2042</v>
      </c>
      <c r="W2" s="1">
        <v>2043</v>
      </c>
      <c r="X2" s="1">
        <v>2044</v>
      </c>
      <c r="Y2" s="1">
        <v>2045</v>
      </c>
      <c r="Z2" s="1">
        <v>2046</v>
      </c>
      <c r="AA2" s="1">
        <v>2047</v>
      </c>
      <c r="AB2" s="1">
        <v>2048</v>
      </c>
      <c r="AC2" s="1">
        <v>2049</v>
      </c>
      <c r="AD2" s="1">
        <v>2050</v>
      </c>
      <c r="AE2" s="1">
        <v>2051</v>
      </c>
      <c r="AF2" s="1">
        <v>2052</v>
      </c>
      <c r="AG2" s="1">
        <v>2053</v>
      </c>
      <c r="AH2" s="1">
        <v>2054</v>
      </c>
      <c r="AI2" s="1">
        <v>2055</v>
      </c>
      <c r="AJ2" s="1">
        <v>2056</v>
      </c>
      <c r="AK2" s="1">
        <v>2057</v>
      </c>
      <c r="AL2" s="1">
        <v>2058</v>
      </c>
      <c r="AM2" s="1">
        <v>2059</v>
      </c>
      <c r="AN2" s="1">
        <v>2060</v>
      </c>
      <c r="AO2" s="1">
        <v>2061</v>
      </c>
      <c r="AP2" s="1">
        <v>2062</v>
      </c>
      <c r="AQ2" s="1">
        <v>2063</v>
      </c>
      <c r="AR2" s="1">
        <v>2064</v>
      </c>
    </row>
    <row r="3" spans="2:44" x14ac:dyDescent="0.35">
      <c r="B3" t="s">
        <v>5</v>
      </c>
      <c r="C3" s="5" t="s">
        <v>6</v>
      </c>
      <c r="D3" s="6">
        <f>SUM(E3:AR3)</f>
        <v>10002622.975000001</v>
      </c>
      <c r="E3">
        <v>0</v>
      </c>
      <c r="F3">
        <v>0</v>
      </c>
      <c r="G3">
        <v>0</v>
      </c>
      <c r="H3" s="2">
        <v>510.565</v>
      </c>
      <c r="I3" s="2">
        <v>3423.8</v>
      </c>
      <c r="J3" s="2">
        <v>12061.855</v>
      </c>
      <c r="K3" s="2">
        <v>35095.33</v>
      </c>
      <c r="L3" s="2">
        <v>85150.28</v>
      </c>
      <c r="M3" s="2">
        <v>157885.215</v>
      </c>
      <c r="N3" s="2">
        <v>246637.505</v>
      </c>
      <c r="O3" s="2">
        <v>338617.37</v>
      </c>
      <c r="P3" s="2">
        <v>392048.01</v>
      </c>
      <c r="Q3" s="2">
        <v>421854.995</v>
      </c>
      <c r="R3" s="2">
        <v>457601.33499999996</v>
      </c>
      <c r="S3" s="2">
        <v>473464.19</v>
      </c>
      <c r="T3" s="2">
        <v>479439.40500000003</v>
      </c>
      <c r="U3" s="2">
        <v>470634.74</v>
      </c>
      <c r="V3" s="2">
        <v>459002.94500000001</v>
      </c>
      <c r="W3" s="2">
        <v>439983.875</v>
      </c>
      <c r="X3" s="2">
        <v>415157.95499999996</v>
      </c>
      <c r="Y3" s="2">
        <v>394157.68000000005</v>
      </c>
      <c r="Z3" s="2">
        <v>370545.05</v>
      </c>
      <c r="AA3" s="2">
        <v>351173.51</v>
      </c>
      <c r="AB3" s="2">
        <v>333695.38499999995</v>
      </c>
      <c r="AC3" s="2">
        <v>308833.79499999998</v>
      </c>
      <c r="AD3" s="2">
        <v>285229.56500000006</v>
      </c>
      <c r="AE3" s="2">
        <v>272208.56500000006</v>
      </c>
      <c r="AF3" s="2">
        <v>259711.06999999998</v>
      </c>
      <c r="AG3" s="2">
        <v>257921.61</v>
      </c>
      <c r="AH3" s="2">
        <v>253655.76</v>
      </c>
      <c r="AI3" s="2">
        <v>241579.11999999997</v>
      </c>
      <c r="AJ3" s="2">
        <v>232758.13500000004</v>
      </c>
      <c r="AK3" s="2">
        <v>220841.66</v>
      </c>
      <c r="AL3" s="2">
        <v>212808.54</v>
      </c>
      <c r="AM3" s="2">
        <v>204265.93499999994</v>
      </c>
      <c r="AN3" s="2">
        <v>194076.85499999995</v>
      </c>
      <c r="AO3" s="2">
        <v>189455.45000000004</v>
      </c>
      <c r="AP3" s="2">
        <v>184628.95500000007</v>
      </c>
      <c r="AQ3" s="2">
        <v>177893.55500000002</v>
      </c>
      <c r="AR3" s="2">
        <v>168613.41000000003</v>
      </c>
    </row>
    <row r="4" spans="2:44" x14ac:dyDescent="0.35">
      <c r="B4" t="s">
        <v>0</v>
      </c>
      <c r="C4" s="5" t="s">
        <v>4</v>
      </c>
      <c r="D4" s="4">
        <f>SUM(E4:AR4)</f>
        <v>-130130374</v>
      </c>
      <c r="E4" s="4">
        <v>-628486</v>
      </c>
      <c r="F4" s="4">
        <v>-1333184</v>
      </c>
      <c r="G4" s="4">
        <v>-1850593</v>
      </c>
      <c r="H4" s="4">
        <v>-2299308</v>
      </c>
      <c r="I4" s="4">
        <v>-2826901</v>
      </c>
      <c r="J4" s="4">
        <v>-3904718</v>
      </c>
      <c r="K4" s="4">
        <v>-5157758</v>
      </c>
      <c r="L4" s="4">
        <v>-5534824</v>
      </c>
      <c r="M4" s="4">
        <v>-4132931</v>
      </c>
      <c r="N4" s="4">
        <v>-3194954</v>
      </c>
      <c r="O4" s="4">
        <v>-2366182</v>
      </c>
      <c r="P4" s="4">
        <v>-2690986</v>
      </c>
      <c r="Q4" s="4">
        <v>-2668818</v>
      </c>
      <c r="R4" s="4">
        <v>-2755284</v>
      </c>
      <c r="S4" s="4">
        <v>-2841300</v>
      </c>
      <c r="T4" s="4">
        <v>-2855677</v>
      </c>
      <c r="U4" s="4">
        <v>-2943789</v>
      </c>
      <c r="V4" s="4">
        <v>-3032208</v>
      </c>
      <c r="W4" s="4">
        <v>-3048393</v>
      </c>
      <c r="X4" s="4">
        <v>-3137449</v>
      </c>
      <c r="Y4" s="4">
        <v>-3083898</v>
      </c>
      <c r="Z4" s="4">
        <v>-3100184</v>
      </c>
      <c r="AA4" s="4">
        <v>-3190245</v>
      </c>
      <c r="AB4" s="4">
        <v>-3280655</v>
      </c>
      <c r="AC4" s="4">
        <v>-3297989</v>
      </c>
      <c r="AD4" s="4">
        <v>-3389119</v>
      </c>
      <c r="AE4" s="4">
        <v>-3480621</v>
      </c>
      <c r="AF4" s="4">
        <v>-3499070</v>
      </c>
      <c r="AG4" s="4">
        <v>-3591339</v>
      </c>
      <c r="AH4" s="4">
        <v>-3684004</v>
      </c>
      <c r="AI4" s="4">
        <v>-3642446</v>
      </c>
      <c r="AJ4" s="4">
        <v>-3662494</v>
      </c>
      <c r="AK4" s="4">
        <v>-3756396</v>
      </c>
      <c r="AL4" s="4">
        <v>-3777296</v>
      </c>
      <c r="AM4" s="4">
        <v>-3798634</v>
      </c>
      <c r="AN4" s="4">
        <v>-3893852</v>
      </c>
      <c r="AO4" s="4">
        <v>-3916096</v>
      </c>
      <c r="AP4" s="4">
        <v>-3938807</v>
      </c>
      <c r="AQ4" s="4">
        <v>-4035427</v>
      </c>
      <c r="AR4" s="4">
        <v>-2908059</v>
      </c>
    </row>
    <row r="5" spans="2:44" x14ac:dyDescent="0.35">
      <c r="B5" t="s">
        <v>1</v>
      </c>
      <c r="C5" s="5" t="s">
        <v>4</v>
      </c>
      <c r="D5" s="4"/>
      <c r="E5" s="3">
        <v>40</v>
      </c>
      <c r="F5" s="3">
        <v>41.6</v>
      </c>
      <c r="G5" s="3">
        <v>43.26</v>
      </c>
      <c r="H5" s="3">
        <v>44.99</v>
      </c>
      <c r="I5" s="3">
        <v>46.79</v>
      </c>
      <c r="J5" s="3">
        <v>48.67</v>
      </c>
      <c r="K5" s="3">
        <v>50.61</v>
      </c>
      <c r="L5" s="3">
        <v>52.64</v>
      </c>
      <c r="M5" s="3">
        <v>54.74</v>
      </c>
      <c r="N5" s="3">
        <v>56.93</v>
      </c>
      <c r="O5" s="3">
        <v>59.21</v>
      </c>
      <c r="P5" s="3">
        <v>61.58</v>
      </c>
      <c r="Q5" s="3">
        <v>64.040000000000006</v>
      </c>
      <c r="R5" s="3">
        <v>66.599999999999994</v>
      </c>
      <c r="S5" s="3">
        <v>69.27</v>
      </c>
      <c r="T5" s="3">
        <v>72.040000000000006</v>
      </c>
      <c r="U5" s="3">
        <v>74.92</v>
      </c>
      <c r="V5" s="3">
        <v>77.92</v>
      </c>
      <c r="W5" s="3">
        <v>81.03</v>
      </c>
      <c r="X5" s="3">
        <v>84.27</v>
      </c>
      <c r="Y5" s="3">
        <v>87.64</v>
      </c>
      <c r="Z5" s="3">
        <v>91.15</v>
      </c>
      <c r="AA5" s="3">
        <v>94.8</v>
      </c>
      <c r="AB5" s="3">
        <v>98.59</v>
      </c>
      <c r="AC5" s="3">
        <v>102.53</v>
      </c>
      <c r="AD5" s="3">
        <v>106.63</v>
      </c>
      <c r="AE5" s="3">
        <v>110.9</v>
      </c>
      <c r="AF5" s="3">
        <v>115.33</v>
      </c>
      <c r="AG5" s="3">
        <v>119.95</v>
      </c>
      <c r="AH5" s="3">
        <v>124.75</v>
      </c>
      <c r="AI5" s="3">
        <v>129.74</v>
      </c>
      <c r="AJ5" s="3">
        <v>134.93</v>
      </c>
      <c r="AK5" s="3">
        <v>140.32</v>
      </c>
      <c r="AL5" s="3">
        <v>145.94</v>
      </c>
      <c r="AM5" s="3">
        <v>151.77000000000001</v>
      </c>
      <c r="AN5" s="3">
        <v>157.84</v>
      </c>
      <c r="AO5" s="3">
        <v>164.16</v>
      </c>
      <c r="AP5" s="3">
        <v>170.72</v>
      </c>
      <c r="AQ5" s="3">
        <v>177.55</v>
      </c>
      <c r="AR5" s="3">
        <v>184.65</v>
      </c>
    </row>
    <row r="6" spans="2:44" x14ac:dyDescent="0.35">
      <c r="B6" t="s">
        <v>7</v>
      </c>
      <c r="C6" s="5" t="s">
        <v>4</v>
      </c>
      <c r="E6" s="4">
        <v>-4000000</v>
      </c>
      <c r="F6" s="4">
        <v>-4000000</v>
      </c>
      <c r="G6" s="4">
        <v>-4000000</v>
      </c>
      <c r="H6" s="4">
        <v>-4000000</v>
      </c>
      <c r="I6" s="4">
        <v>-4000000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</row>
    <row r="7" spans="2:44" x14ac:dyDescent="0.35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15" spans="2:44" x14ac:dyDescent="0.35">
      <c r="W15" s="38" t="e">
        <f>SUM(#REF!)</f>
        <v>#REF!</v>
      </c>
    </row>
    <row r="16" spans="2:44" x14ac:dyDescent="0.35">
      <c r="W16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A8E9-D0D2-42E7-A38F-F82C741DF542}">
  <dimension ref="A1:AX57"/>
  <sheetViews>
    <sheetView showGridLines="0" tabSelected="1" zoomScale="85" zoomScaleNormal="85" workbookViewId="0">
      <selection activeCell="G7" sqref="G7"/>
    </sheetView>
  </sheetViews>
  <sheetFormatPr defaultColWidth="10.90625" defaultRowHeight="14.5" x14ac:dyDescent="0.35"/>
  <cols>
    <col min="1" max="1" width="26.90625" customWidth="1"/>
    <col min="2" max="2" width="13.90625" customWidth="1"/>
    <col min="3" max="3" width="14.54296875" customWidth="1"/>
    <col min="4" max="5" width="11.453125" bestFit="1" customWidth="1"/>
    <col min="6" max="10" width="13.08984375" customWidth="1"/>
    <col min="11" max="11" width="12.36328125" bestFit="1" customWidth="1"/>
    <col min="12" max="19" width="13.36328125" bestFit="1" customWidth="1"/>
    <col min="20" max="23" width="13.1796875" bestFit="1" customWidth="1"/>
  </cols>
  <sheetData>
    <row r="1" spans="1:50" ht="21" x14ac:dyDescent="0.5">
      <c r="A1" s="22" t="s">
        <v>23</v>
      </c>
    </row>
    <row r="3" spans="1:50" s="20" customFormat="1" x14ac:dyDescent="0.35">
      <c r="A3" s="19" t="s">
        <v>18</v>
      </c>
    </row>
    <row r="5" spans="1:50" x14ac:dyDescent="0.35">
      <c r="A5" s="18" t="s">
        <v>8</v>
      </c>
      <c r="B5" s="7">
        <v>0.48</v>
      </c>
    </row>
    <row r="6" spans="1:50" x14ac:dyDescent="0.35">
      <c r="A6" s="18" t="s">
        <v>16</v>
      </c>
      <c r="B6" s="21">
        <v>1</v>
      </c>
    </row>
    <row r="7" spans="1:50" x14ac:dyDescent="0.35">
      <c r="A7" s="18" t="s">
        <v>17</v>
      </c>
      <c r="B7" s="21">
        <v>1</v>
      </c>
    </row>
    <row r="8" spans="1:50" x14ac:dyDescent="0.35">
      <c r="A8" s="18" t="s">
        <v>7</v>
      </c>
      <c r="B8" s="37">
        <v>20000000</v>
      </c>
    </row>
    <row r="10" spans="1:50" s="20" customFormat="1" x14ac:dyDescent="0.35">
      <c r="A10" s="19" t="s">
        <v>19</v>
      </c>
    </row>
    <row r="12" spans="1:50" x14ac:dyDescent="0.35">
      <c r="B12" s="27" t="s">
        <v>3</v>
      </c>
      <c r="C12" s="32" t="s">
        <v>2</v>
      </c>
      <c r="D12" s="40">
        <v>2025</v>
      </c>
      <c r="E12" s="40">
        <v>2026</v>
      </c>
      <c r="F12" s="40">
        <v>2027</v>
      </c>
      <c r="G12" s="40">
        <v>2028</v>
      </c>
      <c r="H12" s="40">
        <v>2029</v>
      </c>
      <c r="I12" s="40">
        <v>2030</v>
      </c>
      <c r="J12" s="40">
        <v>2031</v>
      </c>
      <c r="K12" s="40">
        <v>2032</v>
      </c>
      <c r="L12" s="40">
        <v>2033</v>
      </c>
      <c r="M12" s="40">
        <v>2034</v>
      </c>
      <c r="N12" s="40">
        <v>2035</v>
      </c>
      <c r="O12" s="40">
        <v>2036</v>
      </c>
      <c r="P12" s="40">
        <v>2037</v>
      </c>
      <c r="Q12" s="40">
        <v>2038</v>
      </c>
      <c r="R12" s="40">
        <v>2039</v>
      </c>
      <c r="S12" s="40">
        <v>2040</v>
      </c>
      <c r="T12" s="40">
        <v>2041</v>
      </c>
      <c r="U12" s="40">
        <v>2042</v>
      </c>
      <c r="V12" s="40">
        <v>2043</v>
      </c>
      <c r="W12" s="40">
        <v>2044</v>
      </c>
    </row>
    <row r="13" spans="1:50" x14ac:dyDescent="0.35">
      <c r="A13" t="s">
        <v>9</v>
      </c>
      <c r="B13" s="28" t="s">
        <v>6</v>
      </c>
      <c r="C13" s="39">
        <f>SUM(D13:W13)</f>
        <v>2542056.0723999999</v>
      </c>
      <c r="D13" s="8">
        <f>(Inputs!E3*(1-Calculations!$B$5))*$B$7</f>
        <v>0</v>
      </c>
      <c r="E13" s="8">
        <f>(Inputs!F3*(1-Calculations!$B$5))*$B$7</f>
        <v>0</v>
      </c>
      <c r="F13" s="8">
        <f>(Inputs!G3*(1-Calculations!$B$5))*$B$7</f>
        <v>0</v>
      </c>
      <c r="G13" s="8">
        <f>(Inputs!H3*(1-Calculations!$B$5))*$B$7</f>
        <v>265.49380000000002</v>
      </c>
      <c r="H13" s="8">
        <f>(Inputs!I3*(1-Calculations!$B$5))*$B$7</f>
        <v>1780.3760000000002</v>
      </c>
      <c r="I13" s="8">
        <f>(Inputs!J3*(1-Calculations!$B$5))*$B$7</f>
        <v>6272.1646000000001</v>
      </c>
      <c r="J13" s="8">
        <f>(Inputs!K3*(1-Calculations!$B$5))*$B$7</f>
        <v>18249.571600000003</v>
      </c>
      <c r="K13" s="8">
        <f>(Inputs!L3*(1-Calculations!$B$5))*$B$7</f>
        <v>44278.145600000003</v>
      </c>
      <c r="L13" s="8">
        <f>(Inputs!M3*(1-Calculations!$B$5))*$B$7</f>
        <v>82100.311799999996</v>
      </c>
      <c r="M13" s="8">
        <f>(Inputs!N3*(1-Calculations!$B$5))*$B$7</f>
        <v>128251.50260000001</v>
      </c>
      <c r="N13" s="8">
        <f>(Inputs!O3*(1-Calculations!$B$5))*$B$7</f>
        <v>176081.0324</v>
      </c>
      <c r="O13" s="8">
        <f>(Inputs!P3*(1-Calculations!$B$5))*$B$7</f>
        <v>203864.96520000001</v>
      </c>
      <c r="P13" s="8">
        <f>(Inputs!Q3*(1-Calculations!$B$5))*$B$7</f>
        <v>219364.5974</v>
      </c>
      <c r="Q13" s="8">
        <f>(Inputs!R3*(1-Calculations!$B$5))*$B$7</f>
        <v>237952.6942</v>
      </c>
      <c r="R13" s="8">
        <f>(Inputs!S3*(1-Calculations!$B$5))*$B$7</f>
        <v>246201.37880000001</v>
      </c>
      <c r="S13" s="8">
        <f>(Inputs!T3*(1-Calculations!$B$5))*$B$7</f>
        <v>249308.49060000002</v>
      </c>
      <c r="T13" s="8">
        <f>(Inputs!U3*(1-Calculations!$B$5))*$B$7</f>
        <v>244730.06479999999</v>
      </c>
      <c r="U13" s="8">
        <f>(Inputs!V3*(1-Calculations!$B$5))*$B$7</f>
        <v>238681.53140000001</v>
      </c>
      <c r="V13" s="8">
        <f>(Inputs!W3*(1-Calculations!$B$5))*$B$7</f>
        <v>228791.61500000002</v>
      </c>
      <c r="W13" s="8">
        <f>(Inputs!X3*(1-Calculations!$B$5))*$B$7</f>
        <v>215882.1366</v>
      </c>
    </row>
    <row r="14" spans="1:50" x14ac:dyDescent="0.35">
      <c r="A14" t="s">
        <v>10</v>
      </c>
      <c r="B14" s="28" t="s">
        <v>6</v>
      </c>
      <c r="C14" s="39">
        <f>SUM(D14:W14)</f>
        <v>2346513.2975999997</v>
      </c>
      <c r="D14" s="8">
        <f>(Inputs!E3*Calculations!$B$5)*$B$7</f>
        <v>0</v>
      </c>
      <c r="E14" s="8">
        <f>(Inputs!F3*Calculations!$B$5)*$B$7</f>
        <v>0</v>
      </c>
      <c r="F14" s="8">
        <f>(Inputs!G3*Calculations!$B$5)*$B$7</f>
        <v>0</v>
      </c>
      <c r="G14" s="8">
        <f>(Inputs!H3*Calculations!$B$5)*$B$7</f>
        <v>245.07119999999998</v>
      </c>
      <c r="H14" s="8">
        <f>(Inputs!I3*Calculations!$B$5)*$B$7</f>
        <v>1643.424</v>
      </c>
      <c r="I14" s="8">
        <f>(Inputs!J3*Calculations!$B$5)*$B$7</f>
        <v>5789.6903999999995</v>
      </c>
      <c r="J14" s="8">
        <f>(Inputs!K3*Calculations!$B$5)*$B$7</f>
        <v>16845.758399999999</v>
      </c>
      <c r="K14" s="8">
        <f>(Inputs!L3*Calculations!$B$5)*$B$7</f>
        <v>40872.134399999995</v>
      </c>
      <c r="L14" s="8">
        <f>(Inputs!M3*Calculations!$B$5)*$B$7</f>
        <v>75784.903200000001</v>
      </c>
      <c r="M14" s="8">
        <f>(Inputs!N3*Calculations!$B$5)*$B$7</f>
        <v>118386.0024</v>
      </c>
      <c r="N14" s="8">
        <f>(Inputs!O3*Calculations!$B$5)*$B$7</f>
        <v>162536.3376</v>
      </c>
      <c r="O14" s="8">
        <f>(Inputs!P3*Calculations!$B$5)*$B$7</f>
        <v>188183.0448</v>
      </c>
      <c r="P14" s="8">
        <f>(Inputs!Q3*Calculations!$B$5)*$B$7</f>
        <v>202490.3976</v>
      </c>
      <c r="Q14" s="8">
        <f>(Inputs!R3*Calculations!$B$5)*$B$7</f>
        <v>219648.64079999996</v>
      </c>
      <c r="R14" s="8">
        <f>(Inputs!S3*Calculations!$B$5)*$B$7</f>
        <v>227262.8112</v>
      </c>
      <c r="S14" s="8">
        <f>(Inputs!T3*Calculations!$B$5)*$B$7</f>
        <v>230130.91440000001</v>
      </c>
      <c r="T14" s="8">
        <f>(Inputs!U3*Calculations!$B$5)*$B$7</f>
        <v>225904.6752</v>
      </c>
      <c r="U14" s="8">
        <f>(Inputs!V3*Calculations!$B$5)*$B$7</f>
        <v>220321.4136</v>
      </c>
      <c r="V14" s="8">
        <f>(Inputs!W3*Calculations!$B$5)*$B$7</f>
        <v>211192.25999999998</v>
      </c>
      <c r="W14" s="8">
        <f>(Inputs!X3*Calculations!$B$5)*$B$7</f>
        <v>199275.81839999996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35">
      <c r="B15" s="28"/>
      <c r="C15" s="3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s="20" customFormat="1" x14ac:dyDescent="0.35">
      <c r="A16" s="19" t="s">
        <v>20</v>
      </c>
      <c r="B16" s="29"/>
      <c r="C16" s="34"/>
    </row>
    <row r="17" spans="1:50" x14ac:dyDescent="0.35">
      <c r="A17" s="18"/>
      <c r="B17" s="15"/>
      <c r="C17" s="35"/>
    </row>
    <row r="18" spans="1:50" x14ac:dyDescent="0.35">
      <c r="A18" s="23" t="s">
        <v>11</v>
      </c>
      <c r="B18" s="28"/>
      <c r="C18" s="35"/>
    </row>
    <row r="19" spans="1:50" x14ac:dyDescent="0.35">
      <c r="B19" s="27" t="s">
        <v>3</v>
      </c>
      <c r="C19" s="32" t="s">
        <v>2</v>
      </c>
      <c r="D19" s="1">
        <v>2025</v>
      </c>
      <c r="E19" s="1">
        <v>2026</v>
      </c>
      <c r="F19" s="1">
        <v>2027</v>
      </c>
      <c r="G19" s="1">
        <v>2028</v>
      </c>
      <c r="H19" s="1">
        <v>2029</v>
      </c>
      <c r="I19" s="1">
        <v>2030</v>
      </c>
      <c r="J19" s="1">
        <v>2031</v>
      </c>
      <c r="K19" s="1">
        <v>2032</v>
      </c>
      <c r="L19" s="1">
        <v>2033</v>
      </c>
      <c r="M19" s="1">
        <v>2034</v>
      </c>
      <c r="N19" s="1">
        <v>2035</v>
      </c>
      <c r="O19" s="1">
        <v>2036</v>
      </c>
      <c r="P19" s="1">
        <v>2037</v>
      </c>
      <c r="Q19" s="1">
        <v>2038</v>
      </c>
      <c r="R19" s="1">
        <v>2039</v>
      </c>
      <c r="S19" s="1">
        <v>2040</v>
      </c>
      <c r="T19" s="1">
        <v>2041</v>
      </c>
      <c r="U19" s="1">
        <v>2042</v>
      </c>
      <c r="V19" s="1">
        <v>2043</v>
      </c>
      <c r="W19" s="1">
        <v>2044</v>
      </c>
    </row>
    <row r="20" spans="1:50" x14ac:dyDescent="0.35">
      <c r="A20" t="s">
        <v>12</v>
      </c>
      <c r="B20" s="28" t="s">
        <v>4</v>
      </c>
      <c r="C20" s="36">
        <f>SUM(D20:W20)</f>
        <v>-20000000</v>
      </c>
      <c r="D20" s="4">
        <f>Inputs!E6</f>
        <v>-4000000</v>
      </c>
      <c r="E20" s="4">
        <f>Inputs!F6</f>
        <v>-4000000</v>
      </c>
      <c r="F20" s="4">
        <f>Inputs!G6</f>
        <v>-4000000</v>
      </c>
      <c r="G20" s="4">
        <f>Inputs!H6</f>
        <v>-4000000</v>
      </c>
      <c r="H20" s="4">
        <f>Inputs!I6</f>
        <v>-4000000</v>
      </c>
      <c r="I20" s="4">
        <f>Inputs!J6</f>
        <v>0</v>
      </c>
      <c r="J20" s="4">
        <f>Inputs!K6</f>
        <v>0</v>
      </c>
      <c r="K20" s="4">
        <f>Inputs!L6</f>
        <v>0</v>
      </c>
      <c r="L20" s="4">
        <f>Inputs!M6</f>
        <v>0</v>
      </c>
      <c r="M20" s="4">
        <f>Inputs!N6</f>
        <v>0</v>
      </c>
      <c r="N20" s="4">
        <f>Inputs!O6</f>
        <v>0</v>
      </c>
      <c r="O20" s="4">
        <f>Inputs!P6</f>
        <v>0</v>
      </c>
      <c r="P20" s="4">
        <f>Inputs!Q6</f>
        <v>0</v>
      </c>
      <c r="Q20" s="4">
        <f>Inputs!R6</f>
        <v>0</v>
      </c>
      <c r="R20" s="4">
        <f>Inputs!S6</f>
        <v>0</v>
      </c>
      <c r="S20" s="4">
        <f>Inputs!T6</f>
        <v>0</v>
      </c>
      <c r="T20" s="4">
        <f>Inputs!U6</f>
        <v>0</v>
      </c>
      <c r="U20" s="4">
        <f>Inputs!V6</f>
        <v>0</v>
      </c>
      <c r="V20" s="4">
        <f>Inputs!W6</f>
        <v>0</v>
      </c>
      <c r="W20" s="4">
        <f>Inputs!X6</f>
        <v>0</v>
      </c>
    </row>
    <row r="21" spans="1:50" x14ac:dyDescent="0.35">
      <c r="A21" t="s">
        <v>21</v>
      </c>
      <c r="B21" s="28" t="s">
        <v>4</v>
      </c>
      <c r="C21" s="36">
        <f>SUM(D21:W21)</f>
        <v>143389363.35018399</v>
      </c>
      <c r="D21" s="4">
        <f>(D14*(Inputs!E5*$B$6)+D20)</f>
        <v>-4000000</v>
      </c>
      <c r="E21" s="4">
        <f>(E14*(Inputs!F5*$B$6)+E20)</f>
        <v>-4000000</v>
      </c>
      <c r="F21" s="4">
        <f>(F14*(Inputs!G5*$B$6)+F20)</f>
        <v>-4000000</v>
      </c>
      <c r="G21" s="4">
        <f>(G14*(Inputs!H5*$B$6)+G20)</f>
        <v>-3988974.2467120001</v>
      </c>
      <c r="H21" s="4">
        <f>(H14*(Inputs!I5*$B$6)+H20)</f>
        <v>-3923104.1910399999</v>
      </c>
      <c r="I21" s="4">
        <f>(I14*(Inputs!J5*$B$6)+I20)</f>
        <v>281784.231768</v>
      </c>
      <c r="J21" s="4">
        <f>(J14*(Inputs!K5*$B$6)+J20)</f>
        <v>852563.83262399992</v>
      </c>
      <c r="K21" s="4">
        <f>(K14*(Inputs!L5*$B$6)+K20)</f>
        <v>2151509.1548159998</v>
      </c>
      <c r="L21" s="4">
        <f>(L14*(Inputs!M5*$B$6)+L20)</f>
        <v>4148465.6011680001</v>
      </c>
      <c r="M21" s="4">
        <f>(M14*(Inputs!N5*$B$6)+M20)</f>
        <v>6739715.1166319996</v>
      </c>
      <c r="N21" s="4">
        <f>(N14*(Inputs!O5*$B$6)+N20)</f>
        <v>9623776.549296001</v>
      </c>
      <c r="O21" s="4">
        <f>(O14*(Inputs!P5*$B$6)+O20)</f>
        <v>11588311.898784</v>
      </c>
      <c r="P21" s="4">
        <f>(P14*(Inputs!Q5*$B$6)+P20)</f>
        <v>12967485.062304001</v>
      </c>
      <c r="Q21" s="4">
        <f>(Q14*(Inputs!R5*$B$6)+Q20)</f>
        <v>14628599.477279996</v>
      </c>
      <c r="R21" s="4">
        <f>(R14*(Inputs!S5*$B$6)+R20)</f>
        <v>15742494.931823999</v>
      </c>
      <c r="S21" s="4">
        <f>(S14*(Inputs!T5*$B$6)+S20)</f>
        <v>16578631.073376002</v>
      </c>
      <c r="T21" s="4">
        <f>(T14*(Inputs!U5*$B$6)+T20)</f>
        <v>16924778.265983999</v>
      </c>
      <c r="U21" s="4">
        <f>(U14*(Inputs!V5*$B$6)+U20)</f>
        <v>17167444.547712002</v>
      </c>
      <c r="V21" s="4">
        <f>(V14*(Inputs!W5*$B$6)+V20)</f>
        <v>17112908.827799998</v>
      </c>
      <c r="W21" s="4">
        <f>(W14*(Inputs!X5*$B$6)+W20)</f>
        <v>16792973.216567997</v>
      </c>
    </row>
    <row r="22" spans="1:50" x14ac:dyDescent="0.35">
      <c r="A22" t="s">
        <v>22</v>
      </c>
      <c r="B22" s="28" t="s">
        <v>4</v>
      </c>
      <c r="C22" s="36">
        <f>SUM(D22:W22)</f>
        <v>563709512.35055995</v>
      </c>
      <c r="D22" s="4">
        <f>D21</f>
        <v>-4000000</v>
      </c>
      <c r="E22" s="4">
        <f t="shared" ref="E22:W22" si="0">D22+E21</f>
        <v>-8000000</v>
      </c>
      <c r="F22" s="4">
        <f t="shared" si="0"/>
        <v>-12000000</v>
      </c>
      <c r="G22" s="4">
        <f t="shared" si="0"/>
        <v>-15988974.246711999</v>
      </c>
      <c r="H22" s="4">
        <f t="shared" si="0"/>
        <v>-19912078.437752001</v>
      </c>
      <c r="I22" s="4">
        <f t="shared" si="0"/>
        <v>-19630294.205984</v>
      </c>
      <c r="J22" s="4">
        <f t="shared" si="0"/>
        <v>-18777730.373360001</v>
      </c>
      <c r="K22" s="4">
        <f t="shared" si="0"/>
        <v>-16626221.218544001</v>
      </c>
      <c r="L22" s="4">
        <f t="shared" si="0"/>
        <v>-12477755.617376</v>
      </c>
      <c r="M22" s="4">
        <f t="shared" si="0"/>
        <v>-5738040.5007440001</v>
      </c>
      <c r="N22" s="4">
        <f t="shared" si="0"/>
        <v>3885736.0485520009</v>
      </c>
      <c r="O22" s="4">
        <f t="shared" si="0"/>
        <v>15474047.947336001</v>
      </c>
      <c r="P22" s="4">
        <f t="shared" si="0"/>
        <v>28441533.009640001</v>
      </c>
      <c r="Q22" s="4">
        <f t="shared" si="0"/>
        <v>43070132.486919999</v>
      </c>
      <c r="R22" s="4">
        <f t="shared" si="0"/>
        <v>58812627.418743998</v>
      </c>
      <c r="S22" s="4">
        <f t="shared" si="0"/>
        <v>75391258.492119998</v>
      </c>
      <c r="T22" s="4">
        <f t="shared" si="0"/>
        <v>92316036.758103997</v>
      </c>
      <c r="U22" s="4">
        <f t="shared" si="0"/>
        <v>109483481.30581599</v>
      </c>
      <c r="V22" s="4">
        <f t="shared" si="0"/>
        <v>126596390.133616</v>
      </c>
      <c r="W22" s="4">
        <f t="shared" si="0"/>
        <v>143389363.35018399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7" customHeight="1" x14ac:dyDescent="0.35">
      <c r="B23" s="15"/>
      <c r="C23" s="35"/>
    </row>
    <row r="24" spans="1:50" x14ac:dyDescent="0.35">
      <c r="A24" s="23" t="s">
        <v>15</v>
      </c>
      <c r="B24" s="15"/>
      <c r="C24" s="35"/>
    </row>
    <row r="25" spans="1:50" x14ac:dyDescent="0.35">
      <c r="B25" s="27" t="s">
        <v>3</v>
      </c>
      <c r="C25" s="32" t="s">
        <v>2</v>
      </c>
      <c r="D25" s="1">
        <v>2025</v>
      </c>
      <c r="E25" s="1">
        <v>2026</v>
      </c>
      <c r="F25" s="1">
        <v>2027</v>
      </c>
      <c r="G25" s="1">
        <v>2028</v>
      </c>
      <c r="H25" s="1">
        <v>2029</v>
      </c>
      <c r="I25" s="1">
        <v>2030</v>
      </c>
      <c r="J25" s="1">
        <v>2031</v>
      </c>
      <c r="K25" s="1">
        <v>2032</v>
      </c>
      <c r="L25" s="1">
        <v>2033</v>
      </c>
      <c r="M25" s="1">
        <v>2034</v>
      </c>
      <c r="N25" s="1">
        <v>2035</v>
      </c>
      <c r="O25" s="1">
        <v>2036</v>
      </c>
      <c r="P25" s="1">
        <v>2037</v>
      </c>
      <c r="Q25" s="1">
        <v>2038</v>
      </c>
      <c r="R25" s="1">
        <v>2039</v>
      </c>
      <c r="S25" s="1">
        <v>2040</v>
      </c>
      <c r="T25" s="1">
        <v>2041</v>
      </c>
      <c r="U25" s="1">
        <v>2042</v>
      </c>
      <c r="V25" s="1">
        <v>2043</v>
      </c>
      <c r="W25" s="1">
        <v>2044</v>
      </c>
    </row>
    <row r="26" spans="1:50" x14ac:dyDescent="0.35">
      <c r="A26" t="s">
        <v>7</v>
      </c>
      <c r="B26" s="30" t="s">
        <v>4</v>
      </c>
      <c r="C26" s="36">
        <f>SUM(D26:W26)</f>
        <v>20000000</v>
      </c>
      <c r="D26" s="4">
        <f>-(Inputs!E6)</f>
        <v>4000000</v>
      </c>
      <c r="E26" s="4">
        <f>-(Inputs!F6)</f>
        <v>4000000</v>
      </c>
      <c r="F26" s="4">
        <f>-(Inputs!G6)</f>
        <v>4000000</v>
      </c>
      <c r="G26" s="4">
        <f>-(Inputs!H6)</f>
        <v>4000000</v>
      </c>
      <c r="H26" s="4">
        <f>-(Inputs!I6)</f>
        <v>4000000</v>
      </c>
      <c r="I26" s="4">
        <f>-(Inputs!J6)</f>
        <v>0</v>
      </c>
      <c r="J26" s="4">
        <f>-(Inputs!K6)</f>
        <v>0</v>
      </c>
      <c r="K26" s="4">
        <f>-(Inputs!L6)</f>
        <v>0</v>
      </c>
      <c r="L26" s="4">
        <f>-(Inputs!M6)</f>
        <v>0</v>
      </c>
      <c r="M26" s="4">
        <f>-(Inputs!N6)</f>
        <v>0</v>
      </c>
      <c r="N26" s="4">
        <f>-(Inputs!O6)</f>
        <v>0</v>
      </c>
      <c r="O26" s="4">
        <f>-(Inputs!P6)</f>
        <v>0</v>
      </c>
      <c r="P26" s="4">
        <f>-(Inputs!Q6)</f>
        <v>0</v>
      </c>
      <c r="Q26" s="4">
        <f>-(Inputs!R6)</f>
        <v>0</v>
      </c>
      <c r="R26" s="4">
        <f>-(Inputs!S6)</f>
        <v>0</v>
      </c>
      <c r="S26" s="4">
        <f>-(Inputs!T6)</f>
        <v>0</v>
      </c>
      <c r="T26" s="4">
        <f>-(Inputs!U6)</f>
        <v>0</v>
      </c>
      <c r="U26" s="4">
        <f>-(Inputs!V6)</f>
        <v>0</v>
      </c>
      <c r="V26" s="4">
        <f>-(Inputs!W6)</f>
        <v>0</v>
      </c>
      <c r="W26" s="4">
        <f>-(Inputs!X6)</f>
        <v>0</v>
      </c>
    </row>
    <row r="27" spans="1:50" x14ac:dyDescent="0.35">
      <c r="A27" t="s">
        <v>0</v>
      </c>
      <c r="B27" s="30" t="s">
        <v>4</v>
      </c>
      <c r="C27" s="36">
        <f>SUM(D27:W27)</f>
        <v>-59203743</v>
      </c>
      <c r="D27" s="4">
        <f>Inputs!E4</f>
        <v>-628486</v>
      </c>
      <c r="E27" s="4">
        <f>Inputs!F4</f>
        <v>-1333184</v>
      </c>
      <c r="F27" s="4">
        <f>Inputs!G4</f>
        <v>-1850593</v>
      </c>
      <c r="G27" s="4">
        <f>Inputs!H4</f>
        <v>-2299308</v>
      </c>
      <c r="H27" s="4">
        <f>Inputs!I4</f>
        <v>-2826901</v>
      </c>
      <c r="I27" s="4">
        <f>Inputs!J4</f>
        <v>-3904718</v>
      </c>
      <c r="J27" s="4">
        <f>Inputs!K4</f>
        <v>-5157758</v>
      </c>
      <c r="K27" s="4">
        <f>Inputs!L4</f>
        <v>-5534824</v>
      </c>
      <c r="L27" s="4">
        <f>Inputs!M4</f>
        <v>-4132931</v>
      </c>
      <c r="M27" s="4">
        <f>Inputs!N4</f>
        <v>-3194954</v>
      </c>
      <c r="N27" s="4">
        <f>Inputs!O4</f>
        <v>-2366182</v>
      </c>
      <c r="O27" s="4">
        <f>Inputs!P4</f>
        <v>-2690986</v>
      </c>
      <c r="P27" s="4">
        <f>Inputs!Q4</f>
        <v>-2668818</v>
      </c>
      <c r="Q27" s="4">
        <f>Inputs!R4</f>
        <v>-2755284</v>
      </c>
      <c r="R27" s="4">
        <f>Inputs!S4</f>
        <v>-2841300</v>
      </c>
      <c r="S27" s="4">
        <f>Inputs!T4</f>
        <v>-2855677</v>
      </c>
      <c r="T27" s="4">
        <f>Inputs!U4</f>
        <v>-2943789</v>
      </c>
      <c r="U27" s="4">
        <f>Inputs!V4</f>
        <v>-3032208</v>
      </c>
      <c r="V27" s="4">
        <f>Inputs!W4</f>
        <v>-3048393</v>
      </c>
      <c r="W27" s="4">
        <f>Inputs!X4</f>
        <v>-3137449</v>
      </c>
    </row>
    <row r="28" spans="1:50" x14ac:dyDescent="0.35">
      <c r="A28" t="s">
        <v>24</v>
      </c>
      <c r="B28" s="30" t="s">
        <v>4</v>
      </c>
      <c r="C28" s="36">
        <f>SUM(D28:W28)</f>
        <v>177005143.62936598</v>
      </c>
      <c r="D28" s="4">
        <f>D13*Inputs!E5</f>
        <v>0</v>
      </c>
      <c r="E28" s="4">
        <f>E13*Inputs!F5</f>
        <v>0</v>
      </c>
      <c r="F28" s="4">
        <f>F13*Inputs!G5</f>
        <v>0</v>
      </c>
      <c r="G28" s="4">
        <f>G13*Inputs!H5</f>
        <v>11944.566062000002</v>
      </c>
      <c r="H28" s="4">
        <f>H13*Inputs!I5</f>
        <v>83303.793040000004</v>
      </c>
      <c r="I28" s="4">
        <f>I13*Inputs!J5</f>
        <v>305266.25108200003</v>
      </c>
      <c r="J28" s="4">
        <f>J13*Inputs!K5</f>
        <v>923610.81867600011</v>
      </c>
      <c r="K28" s="4">
        <f>K13*Inputs!L5</f>
        <v>2330801.5843840004</v>
      </c>
      <c r="L28" s="4">
        <f>L13*Inputs!M5</f>
        <v>4494171.0679320004</v>
      </c>
      <c r="M28" s="4">
        <f>M13*Inputs!N5</f>
        <v>7301358.0430180002</v>
      </c>
      <c r="N28" s="4">
        <f>N13*Inputs!O5</f>
        <v>10425757.928404</v>
      </c>
      <c r="O28" s="4">
        <f>O13*Inputs!P5</f>
        <v>12554004.557016</v>
      </c>
      <c r="P28" s="4">
        <f>P13*Inputs!Q5</f>
        <v>14048108.817496002</v>
      </c>
      <c r="Q28" s="4">
        <f>Q13*Inputs!R5</f>
        <v>15847649.433719998</v>
      </c>
      <c r="R28" s="4">
        <f>R13*Inputs!S5</f>
        <v>17054369.509475999</v>
      </c>
      <c r="S28" s="4">
        <f>S13*Inputs!T5</f>
        <v>17960183.662824001</v>
      </c>
      <c r="T28" s="4">
        <f>T13*Inputs!U5</f>
        <v>18335176.454815999</v>
      </c>
      <c r="U28" s="4">
        <f>U13*Inputs!V5</f>
        <v>18598064.926688001</v>
      </c>
      <c r="V28" s="4">
        <f>V13*Inputs!W5</f>
        <v>18538984.563450001</v>
      </c>
      <c r="W28" s="4">
        <f>W13*Inputs!X5</f>
        <v>18192387.651281998</v>
      </c>
    </row>
    <row r="29" spans="1:50" x14ac:dyDescent="0.35">
      <c r="A29" t="s">
        <v>25</v>
      </c>
      <c r="B29" s="30" t="s">
        <v>4</v>
      </c>
      <c r="C29" s="31"/>
      <c r="D29" s="4">
        <f>SUM(D26:D28)</f>
        <v>3371514</v>
      </c>
      <c r="E29" s="4">
        <f>D29+SUM(E26:E28)</f>
        <v>6038330</v>
      </c>
      <c r="F29" s="4">
        <f t="shared" ref="F29:W29" si="1">E29+SUM(F26:F28)</f>
        <v>8187737</v>
      </c>
      <c r="G29" s="4">
        <f t="shared" si="1"/>
        <v>9900373.5660619996</v>
      </c>
      <c r="H29" s="4">
        <f t="shared" si="1"/>
        <v>11156776.359102</v>
      </c>
      <c r="I29" s="4">
        <f t="shared" si="1"/>
        <v>7557324.6101839989</v>
      </c>
      <c r="J29" s="4">
        <f t="shared" si="1"/>
        <v>3323177.4288599994</v>
      </c>
      <c r="K29" s="4">
        <f t="shared" si="1"/>
        <v>119155.0132439998</v>
      </c>
      <c r="L29" s="4">
        <f t="shared" si="1"/>
        <v>480395.08117600018</v>
      </c>
      <c r="M29" s="4">
        <f t="shared" si="1"/>
        <v>4586799.1241939999</v>
      </c>
      <c r="N29" s="4">
        <f t="shared" si="1"/>
        <v>12646375.052598</v>
      </c>
      <c r="O29" s="4">
        <f t="shared" si="1"/>
        <v>22509393.609614</v>
      </c>
      <c r="P29" s="4">
        <f t="shared" si="1"/>
        <v>33888684.427110001</v>
      </c>
      <c r="Q29" s="4">
        <f t="shared" si="1"/>
        <v>46981049.860830002</v>
      </c>
      <c r="R29" s="4">
        <f t="shared" si="1"/>
        <v>61194119.370306</v>
      </c>
      <c r="S29" s="4">
        <f t="shared" si="1"/>
        <v>76298626.033130005</v>
      </c>
      <c r="T29" s="4">
        <f t="shared" si="1"/>
        <v>91690013.487946004</v>
      </c>
      <c r="U29" s="4">
        <f t="shared" si="1"/>
        <v>107255870.414634</v>
      </c>
      <c r="V29" s="4">
        <f t="shared" si="1"/>
        <v>122746461.978084</v>
      </c>
      <c r="W29" s="4">
        <f t="shared" si="1"/>
        <v>137801400.62936598</v>
      </c>
    </row>
    <row r="31" spans="1:50" s="20" customFormat="1" x14ac:dyDescent="0.35">
      <c r="A31" s="19" t="s">
        <v>27</v>
      </c>
    </row>
    <row r="32" spans="1:50" x14ac:dyDescent="0.35">
      <c r="A32" s="12"/>
      <c r="B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7" customHeight="1" x14ac:dyDescent="0.35">
      <c r="A33" s="18" t="s">
        <v>13</v>
      </c>
      <c r="B33" s="11">
        <f>IRR(D21:W21)</f>
        <v>0.20042519988284901</v>
      </c>
    </row>
    <row r="34" spans="1:23" x14ac:dyDescent="0.35">
      <c r="A34" s="18" t="s">
        <v>14</v>
      </c>
      <c r="B34" s="10" cm="1">
        <f t="array" ref="B34">MATCH(TRUE,D22:W22&gt;=0,0)</f>
        <v>11</v>
      </c>
    </row>
    <row r="35" spans="1:23" x14ac:dyDescent="0.35">
      <c r="A35" s="26" t="s">
        <v>26</v>
      </c>
      <c r="B35" s="24">
        <f>MIN(D29:W29)</f>
        <v>119155.0132439998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35">
      <c r="A36" s="12"/>
      <c r="B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s="20" customFormat="1" x14ac:dyDescent="0.35">
      <c r="A37" s="19" t="s">
        <v>28</v>
      </c>
    </row>
    <row r="38" spans="1:23" x14ac:dyDescent="0.35">
      <c r="A38" s="12"/>
      <c r="B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35">
      <c r="A39" s="25" t="s">
        <v>29</v>
      </c>
      <c r="B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35">
      <c r="C40" s="43" t="s">
        <v>16</v>
      </c>
      <c r="D40" s="44"/>
      <c r="E40" s="44"/>
      <c r="F40" s="44"/>
      <c r="G40" s="44"/>
      <c r="H40" s="44"/>
      <c r="I40" s="44"/>
    </row>
    <row r="41" spans="1:23" x14ac:dyDescent="0.35">
      <c r="A41" s="42" t="s">
        <v>17</v>
      </c>
      <c r="B41" s="16">
        <f>B33</f>
        <v>0.20042519988284901</v>
      </c>
      <c r="C41" s="17">
        <v>0.8</v>
      </c>
      <c r="D41" s="17">
        <v>0.9</v>
      </c>
      <c r="E41" s="17">
        <v>0.95</v>
      </c>
      <c r="F41" s="17">
        <v>1</v>
      </c>
      <c r="G41" s="17">
        <v>1.05</v>
      </c>
      <c r="H41" s="17">
        <v>1.1000000000000001</v>
      </c>
      <c r="I41" s="17">
        <v>1.2</v>
      </c>
    </row>
    <row r="42" spans="1:23" x14ac:dyDescent="0.35">
      <c r="A42" s="42"/>
      <c r="B42" s="17">
        <v>0.8</v>
      </c>
      <c r="C42" s="41">
        <f t="dataTable" ref="C42:I48" dt2D="1" dtr="1" r1="B7" r2="B6"/>
        <v>0.15191881978958355</v>
      </c>
      <c r="D42" s="41">
        <v>0.1643556651108049</v>
      </c>
      <c r="E42" s="41">
        <v>0.17014999353080507</v>
      </c>
      <c r="F42" s="41">
        <v>0.17569773499325425</v>
      </c>
      <c r="G42" s="41">
        <v>0.18102123028419737</v>
      </c>
      <c r="H42" s="41">
        <v>0.18613983574776927</v>
      </c>
      <c r="I42" s="41">
        <v>0.19582786298285026</v>
      </c>
    </row>
    <row r="43" spans="1:23" x14ac:dyDescent="0.35">
      <c r="A43" s="42"/>
      <c r="B43" s="17">
        <v>0.9</v>
      </c>
      <c r="C43" s="41">
        <v>0.16435566511080513</v>
      </c>
      <c r="D43" s="41">
        <v>0.1770488291802339</v>
      </c>
      <c r="E43" s="41">
        <v>0.18296376161403094</v>
      </c>
      <c r="F43" s="41">
        <v>0.18862766664510722</v>
      </c>
      <c r="G43" s="41">
        <v>0.19406325748060982</v>
      </c>
      <c r="H43" s="41">
        <v>0.19929021552898685</v>
      </c>
      <c r="I43" s="41">
        <v>0.20918482827124407</v>
      </c>
    </row>
    <row r="44" spans="1:23" x14ac:dyDescent="0.35">
      <c r="A44" s="42"/>
      <c r="B44" s="17">
        <v>0.95</v>
      </c>
      <c r="C44" s="41">
        <v>0.17014999353080529</v>
      </c>
      <c r="D44" s="41">
        <v>0.18296376161403094</v>
      </c>
      <c r="E44" s="41">
        <v>0.18893543944024538</v>
      </c>
      <c r="F44" s="41">
        <v>0.19465399937609895</v>
      </c>
      <c r="G44" s="41">
        <v>0.20014232984953928</v>
      </c>
      <c r="H44" s="41">
        <v>0.20542026522476964</v>
      </c>
      <c r="I44" s="41">
        <v>0.21541206767905918</v>
      </c>
    </row>
    <row r="45" spans="1:23" x14ac:dyDescent="0.35">
      <c r="A45" s="42"/>
      <c r="B45" s="17">
        <v>1</v>
      </c>
      <c r="C45" s="41">
        <v>0.17569773499325425</v>
      </c>
      <c r="D45" s="41">
        <v>0.18862766664510722</v>
      </c>
      <c r="E45" s="41">
        <v>0.19465399937609895</v>
      </c>
      <c r="F45" s="41">
        <v>0.20042519988284901</v>
      </c>
      <c r="G45" s="41">
        <v>0.2059643253740242</v>
      </c>
      <c r="H45" s="41">
        <v>0.21129135755683381</v>
      </c>
      <c r="I45" s="41">
        <v>0.22137676186698108</v>
      </c>
    </row>
    <row r="46" spans="1:23" x14ac:dyDescent="0.35">
      <c r="A46" s="42"/>
      <c r="B46" s="17">
        <v>1.05</v>
      </c>
      <c r="C46" s="41">
        <v>0.18102123028419737</v>
      </c>
      <c r="D46" s="41">
        <v>0.19406325748060982</v>
      </c>
      <c r="E46" s="41">
        <v>0.20014232984953928</v>
      </c>
      <c r="F46" s="41">
        <v>0.2059643253740242</v>
      </c>
      <c r="G46" s="41">
        <v>0.21155246415477236</v>
      </c>
      <c r="H46" s="41">
        <v>0.21692687010923573</v>
      </c>
      <c r="I46" s="41">
        <v>0.22710258879250778</v>
      </c>
    </row>
    <row r="47" spans="1:23" x14ac:dyDescent="0.35">
      <c r="A47" s="42"/>
      <c r="B47" s="17">
        <v>1.1000000000000001</v>
      </c>
      <c r="C47" s="41">
        <v>0.18613983574776927</v>
      </c>
      <c r="D47" s="41">
        <v>0.19929021552898685</v>
      </c>
      <c r="E47" s="41">
        <v>0.20542026522476964</v>
      </c>
      <c r="F47" s="41">
        <v>0.21129135755683381</v>
      </c>
      <c r="G47" s="41">
        <v>0.21692687010923573</v>
      </c>
      <c r="H47" s="41">
        <v>0.22234706429476891</v>
      </c>
      <c r="I47" s="41">
        <v>0.23261007213607554</v>
      </c>
    </row>
    <row r="48" spans="1:23" x14ac:dyDescent="0.35">
      <c r="A48" s="42"/>
      <c r="B48" s="17">
        <v>1.2</v>
      </c>
      <c r="C48" s="41">
        <v>0.19582786298285026</v>
      </c>
      <c r="D48" s="41">
        <v>0.20918482827124385</v>
      </c>
      <c r="E48" s="41">
        <v>0.21541206767905918</v>
      </c>
      <c r="F48" s="41">
        <v>0.22137676186698108</v>
      </c>
      <c r="G48" s="41">
        <v>0.227102588792508</v>
      </c>
      <c r="H48" s="41">
        <v>0.23261007213607554</v>
      </c>
      <c r="I48" s="41">
        <v>0.2430394779231162</v>
      </c>
    </row>
    <row r="49" spans="1:23" x14ac:dyDescent="0.35">
      <c r="C49" s="13"/>
    </row>
    <row r="50" spans="1:23" x14ac:dyDescent="0.35">
      <c r="B50" s="14"/>
      <c r="C50" s="13"/>
    </row>
    <row r="51" spans="1:23" x14ac:dyDescent="0.35">
      <c r="B51" s="14"/>
    </row>
    <row r="52" spans="1:23" s="20" customFormat="1" x14ac:dyDescent="0.35">
      <c r="A52" s="19" t="s">
        <v>31</v>
      </c>
    </row>
    <row r="54" spans="1:23" x14ac:dyDescent="0.35">
      <c r="B54" s="27" t="s">
        <v>3</v>
      </c>
      <c r="C54" s="32" t="s">
        <v>2</v>
      </c>
      <c r="D54" s="1">
        <v>2025</v>
      </c>
      <c r="E54" s="1">
        <v>2026</v>
      </c>
      <c r="F54" s="1">
        <v>2027</v>
      </c>
      <c r="G54" s="1">
        <v>2028</v>
      </c>
      <c r="H54" s="1">
        <v>2029</v>
      </c>
      <c r="I54" s="1">
        <v>2030</v>
      </c>
      <c r="J54" s="1">
        <v>2031</v>
      </c>
      <c r="K54" s="1">
        <v>2032</v>
      </c>
      <c r="L54" s="1">
        <v>2033</v>
      </c>
      <c r="M54" s="1">
        <v>2034</v>
      </c>
      <c r="N54" s="1">
        <v>2035</v>
      </c>
      <c r="O54" s="1">
        <v>2036</v>
      </c>
      <c r="P54" s="1">
        <v>2037</v>
      </c>
      <c r="Q54" s="1">
        <v>2038</v>
      </c>
      <c r="R54" s="1">
        <v>2039</v>
      </c>
      <c r="S54" s="1">
        <v>2040</v>
      </c>
      <c r="T54" s="1">
        <v>2041</v>
      </c>
      <c r="U54" s="1">
        <v>2042</v>
      </c>
      <c r="V54" s="1">
        <v>2043</v>
      </c>
      <c r="W54" s="1">
        <v>2044</v>
      </c>
    </row>
    <row r="55" spans="1:23" x14ac:dyDescent="0.35">
      <c r="A55" t="s">
        <v>5</v>
      </c>
      <c r="B55" s="28" t="s">
        <v>6</v>
      </c>
      <c r="C55" s="39">
        <f>SUM(D55:W55)</f>
        <v>4888569.370000001</v>
      </c>
      <c r="D55" s="8">
        <v>0</v>
      </c>
      <c r="E55" s="8">
        <v>0</v>
      </c>
      <c r="F55" s="8">
        <v>0</v>
      </c>
      <c r="G55" s="2">
        <v>510.565</v>
      </c>
      <c r="H55" s="2">
        <v>3423.8</v>
      </c>
      <c r="I55" s="2">
        <v>12061.855</v>
      </c>
      <c r="J55" s="2">
        <v>35095.33</v>
      </c>
      <c r="K55" s="2">
        <v>85150.28</v>
      </c>
      <c r="L55" s="2">
        <v>157885.215</v>
      </c>
      <c r="M55" s="2">
        <v>246637.505</v>
      </c>
      <c r="N55" s="2">
        <v>338617.37</v>
      </c>
      <c r="O55" s="2">
        <v>392048.01</v>
      </c>
      <c r="P55" s="2">
        <v>421854.995</v>
      </c>
      <c r="Q55" s="2">
        <v>457601.33499999996</v>
      </c>
      <c r="R55" s="2">
        <v>473464.19</v>
      </c>
      <c r="S55" s="2">
        <v>479439.40500000003</v>
      </c>
      <c r="T55" s="2">
        <v>470634.74</v>
      </c>
      <c r="U55" s="2">
        <v>459002.94500000001</v>
      </c>
      <c r="V55" s="2">
        <v>439983.875</v>
      </c>
      <c r="W55" s="2">
        <v>415157.95499999996</v>
      </c>
    </row>
    <row r="56" spans="1:23" x14ac:dyDescent="0.35">
      <c r="A56" t="s">
        <v>30</v>
      </c>
      <c r="B56" s="28" t="s">
        <v>6</v>
      </c>
      <c r="C56" s="39">
        <f>SUM(D56:W56)</f>
        <v>2346513.2975999997</v>
      </c>
      <c r="D56" s="8">
        <f>Calculations!D14</f>
        <v>0</v>
      </c>
      <c r="E56" s="8">
        <f>Calculations!E14</f>
        <v>0</v>
      </c>
      <c r="F56" s="8">
        <f>Calculations!F14</f>
        <v>0</v>
      </c>
      <c r="G56" s="8">
        <f>Calculations!G14</f>
        <v>245.07119999999998</v>
      </c>
      <c r="H56" s="8">
        <f>Calculations!H14</f>
        <v>1643.424</v>
      </c>
      <c r="I56" s="8">
        <f>Calculations!I14</f>
        <v>5789.6903999999995</v>
      </c>
      <c r="J56" s="8">
        <f>Calculations!J14</f>
        <v>16845.758399999999</v>
      </c>
      <c r="K56" s="8">
        <f>Calculations!K14</f>
        <v>40872.134399999995</v>
      </c>
      <c r="L56" s="8">
        <f>Calculations!L14</f>
        <v>75784.903200000001</v>
      </c>
      <c r="M56" s="8">
        <f>Calculations!M14</f>
        <v>118386.0024</v>
      </c>
      <c r="N56" s="8">
        <f>Calculations!N14</f>
        <v>162536.3376</v>
      </c>
      <c r="O56" s="8">
        <f>Calculations!O14</f>
        <v>188183.0448</v>
      </c>
      <c r="P56" s="8">
        <f>Calculations!P14</f>
        <v>202490.3976</v>
      </c>
      <c r="Q56" s="8">
        <f>Calculations!Q14</f>
        <v>219648.64079999996</v>
      </c>
      <c r="R56" s="8">
        <f>Calculations!R14</f>
        <v>227262.8112</v>
      </c>
      <c r="S56" s="8">
        <f>Calculations!S14</f>
        <v>230130.91440000001</v>
      </c>
      <c r="T56" s="8">
        <f>Calculations!T14</f>
        <v>225904.6752</v>
      </c>
      <c r="U56" s="8">
        <f>Calculations!U14</f>
        <v>220321.4136</v>
      </c>
      <c r="V56" s="8">
        <f>Calculations!V14</f>
        <v>211192.25999999998</v>
      </c>
      <c r="W56" s="8">
        <f>Calculations!W14</f>
        <v>199275.81839999996</v>
      </c>
    </row>
    <row r="57" spans="1:23" x14ac:dyDescent="0.35">
      <c r="A57" t="s">
        <v>1</v>
      </c>
      <c r="B57" s="28" t="s">
        <v>32</v>
      </c>
      <c r="C57" s="39"/>
      <c r="D57" s="3">
        <v>40</v>
      </c>
      <c r="E57" s="3">
        <v>41.6</v>
      </c>
      <c r="F57" s="3">
        <v>43.26</v>
      </c>
      <c r="G57" s="3">
        <v>44.99</v>
      </c>
      <c r="H57" s="3">
        <v>46.79</v>
      </c>
      <c r="I57" s="3">
        <v>48.67</v>
      </c>
      <c r="J57" s="3">
        <v>50.61</v>
      </c>
      <c r="K57" s="3">
        <v>52.64</v>
      </c>
      <c r="L57" s="3">
        <v>54.74</v>
      </c>
      <c r="M57" s="3">
        <v>56.93</v>
      </c>
      <c r="N57" s="3">
        <v>59.21</v>
      </c>
      <c r="O57" s="3">
        <v>61.58</v>
      </c>
      <c r="P57" s="3">
        <v>64.040000000000006</v>
      </c>
      <c r="Q57" s="3">
        <v>66.599999999999994</v>
      </c>
      <c r="R57" s="3">
        <v>69.27</v>
      </c>
      <c r="S57" s="3">
        <v>72.040000000000006</v>
      </c>
      <c r="T57" s="3">
        <v>74.92</v>
      </c>
      <c r="U57" s="3">
        <v>77.92</v>
      </c>
      <c r="V57" s="3">
        <v>81.03</v>
      </c>
      <c r="W57" s="3">
        <v>84.27</v>
      </c>
    </row>
  </sheetData>
  <mergeCells count="2">
    <mergeCell ref="C40:I40"/>
    <mergeCell ref="A41:A48"/>
  </mergeCells>
  <hyperlinks>
    <hyperlink ref="B57" r:id="rId1" display="$/tCO@e" xr:uid="{1F0873A3-C924-4AF7-B67E-11051EDF5EB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Sebenius</dc:creator>
  <cp:lastModifiedBy>Oscar Castellas-Cartwright</cp:lastModifiedBy>
  <dcterms:created xsi:type="dcterms:W3CDTF">2025-10-15T21:01:35Z</dcterms:created>
  <dcterms:modified xsi:type="dcterms:W3CDTF">2025-10-25T17:35:58Z</dcterms:modified>
</cp:coreProperties>
</file>